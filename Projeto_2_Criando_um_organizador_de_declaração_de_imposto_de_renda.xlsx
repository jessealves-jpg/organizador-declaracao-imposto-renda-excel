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essé Alves\Desktop\"/>
    </mc:Choice>
  </mc:AlternateContent>
  <xr:revisionPtr revIDLastSave="0" documentId="13_ncr:1_{28CC9142-413F-4860-A280-A7C05EB72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DASTRO" sheetId="1" r:id="rId1"/>
    <sheet name="RENDIMENTOS" sheetId="28" r:id="rId2"/>
    <sheet name="BANCOS" sheetId="29" r:id="rId3"/>
    <sheet name="INVESTIMENTOS" sheetId="30" r:id="rId4"/>
    <sheet name="INFORMES" sheetId="31" r:id="rId5"/>
    <sheet name="NOTAS" sheetId="32" r:id="rId6"/>
    <sheet name="RESUMO" sheetId="33" r:id="rId7"/>
    <sheet name="TABELAS" sheetId="20" state="hidden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3" l="1"/>
  <c r="E6" i="33"/>
  <c r="E4" i="33"/>
  <c r="E3" i="33"/>
  <c r="F39" i="32"/>
  <c r="E26" i="29"/>
  <c r="E24" i="28"/>
  <c r="E5" i="33"/>
  <c r="E7" i="33"/>
  <c r="E18" i="31"/>
  <c r="E36" i="31"/>
  <c r="E20" i="30"/>
  <c r="E12" i="30"/>
</calcChain>
</file>

<file path=xl/sharedStrings.xml><?xml version="1.0" encoding="utf-8"?>
<sst xmlns="http://schemas.openxmlformats.org/spreadsheetml/2006/main" count="255" uniqueCount="190">
  <si>
    <t xml:space="preserve"> </t>
  </si>
  <si>
    <t>CPF</t>
  </si>
  <si>
    <t>CEP</t>
  </si>
  <si>
    <t>Nome</t>
  </si>
  <si>
    <t>Título de eleitor</t>
  </si>
  <si>
    <t>Cônjuge</t>
  </si>
  <si>
    <t>Dados pessoais</t>
  </si>
  <si>
    <t>Endereço</t>
  </si>
  <si>
    <t>Contato</t>
  </si>
  <si>
    <t>Telefone</t>
  </si>
  <si>
    <t>Celular</t>
  </si>
  <si>
    <t>Informações da declaração</t>
  </si>
  <si>
    <t>Houve alteração na entrega anterior?</t>
  </si>
  <si>
    <t>Residente no exterior?</t>
  </si>
  <si>
    <t>RG</t>
  </si>
  <si>
    <t>Órgão emissor</t>
  </si>
  <si>
    <t>Nome da mãe</t>
  </si>
  <si>
    <t>Etado civil</t>
  </si>
  <si>
    <t>Data de nascimento</t>
  </si>
  <si>
    <t>Declara em conjunto?</t>
  </si>
  <si>
    <t>Número</t>
  </si>
  <si>
    <t>Complemento</t>
  </si>
  <si>
    <t>Bairro</t>
  </si>
  <si>
    <t>Cidade</t>
  </si>
  <si>
    <t>UF</t>
  </si>
  <si>
    <t>e-mail</t>
  </si>
  <si>
    <t>Dependente</t>
  </si>
  <si>
    <t>Nº do recibo da declaração anterior</t>
  </si>
  <si>
    <t>Tipo de declaração</t>
  </si>
  <si>
    <t>Pessoa com deficiência?</t>
  </si>
  <si>
    <t>Banco</t>
  </si>
  <si>
    <t>Agência</t>
  </si>
  <si>
    <t>Conta</t>
  </si>
  <si>
    <t>Chave Pix</t>
  </si>
  <si>
    <t>Restituição</t>
  </si>
  <si>
    <t>NÃO</t>
  </si>
  <si>
    <t>jesse@dio.me</t>
  </si>
  <si>
    <t xml:space="preserve">Rua Central </t>
  </si>
  <si>
    <t>Casa</t>
  </si>
  <si>
    <t>Centro</t>
  </si>
  <si>
    <t>São Paulo</t>
  </si>
  <si>
    <t>SP</t>
  </si>
  <si>
    <t>11.111.111-X</t>
  </si>
  <si>
    <t>SSP/SP</t>
  </si>
  <si>
    <t>Casado(a)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</si>
  <si>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</si>
  <si>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</si>
  <si>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</si>
  <si>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</si>
  <si>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</si>
  <si>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</si>
  <si>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</si>
  <si>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</si>
  <si>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</si>
  <si>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</si>
  <si>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</si>
  <si>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</si>
  <si>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</si>
  <si>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</si>
  <si>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</si>
  <si>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</si>
  <si>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</si>
  <si>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</si>
  <si>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</si>
  <si>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</si>
  <si>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</si>
  <si>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</si>
  <si>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</si>
  <si>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</si>
  <si>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</si>
  <si>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</si>
  <si>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</si>
  <si>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</si>
  <si>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</si>
  <si>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</si>
  <si>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</si>
  <si>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</si>
  <si>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</si>
  <si>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</si>
  <si>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</si>
  <si>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</si>
  <si>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</si>
  <si>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</si>
  <si>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</si>
  <si>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</si>
  <si>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</si>
  <si>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</si>
  <si>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</si>
  <si>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</si>
  <si>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</si>
  <si>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</si>
  <si>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</si>
  <si>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</si>
  <si>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</si>
  <si>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</si>
  <si>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</si>
  <si>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1. DADOS CADASTRAIS DO TÍTULAR</t>
  </si>
  <si>
    <t>Tributaveis</t>
  </si>
  <si>
    <t>Fonte pagadora</t>
  </si>
  <si>
    <t>CNPJ</t>
  </si>
  <si>
    <t>Tipo de Rendimento</t>
  </si>
  <si>
    <t>Valor Recebido</t>
  </si>
  <si>
    <t>INSS</t>
  </si>
  <si>
    <t>13º Salario</t>
  </si>
  <si>
    <t>IRRF</t>
  </si>
  <si>
    <t>Isentos</t>
  </si>
  <si>
    <t>Tipo</t>
  </si>
  <si>
    <t>Fonte</t>
  </si>
  <si>
    <t>Valor</t>
  </si>
  <si>
    <t>Exclusivos Fonte</t>
  </si>
  <si>
    <t>Instituição</t>
  </si>
  <si>
    <t>Tipo Aplicação</t>
  </si>
  <si>
    <t>Total</t>
  </si>
  <si>
    <t>1º Banco</t>
  </si>
  <si>
    <t>Valor atual</t>
  </si>
  <si>
    <t>Anexo</t>
  </si>
  <si>
    <t>Banco.In.PDF</t>
  </si>
  <si>
    <t>2º Banco</t>
  </si>
  <si>
    <t>Informe2025.PDF</t>
  </si>
  <si>
    <t>3º Banco</t>
  </si>
  <si>
    <t>4º Banco</t>
  </si>
  <si>
    <t>4. INVESTIMENTOS</t>
  </si>
  <si>
    <t>Renda Fixa</t>
  </si>
  <si>
    <t>Produto</t>
  </si>
  <si>
    <t>Data Aplicação</t>
  </si>
  <si>
    <t>Valor Aplicado</t>
  </si>
  <si>
    <t>Saldo Atual</t>
  </si>
  <si>
    <t>Ações</t>
  </si>
  <si>
    <t>Empresa</t>
  </si>
  <si>
    <t>Quantidade</t>
  </si>
  <si>
    <t>Preço Médio</t>
  </si>
  <si>
    <t>Valor total</t>
  </si>
  <si>
    <t>Criptoativos</t>
  </si>
  <si>
    <t>Moeda</t>
  </si>
  <si>
    <t>Valor Aquisição</t>
  </si>
  <si>
    <t xml:space="preserve">3. RENDIMENTOS BANCÁRIOS </t>
  </si>
  <si>
    <t>2. RENDIMENTOS</t>
  </si>
  <si>
    <t>5. INFORMES</t>
  </si>
  <si>
    <t>Valor pago</t>
  </si>
  <si>
    <t>Reenbolso</t>
  </si>
  <si>
    <t>Histórico</t>
  </si>
  <si>
    <t>7. RESUMO IRPF</t>
  </si>
  <si>
    <t>Rendimentos Tributaveis</t>
  </si>
  <si>
    <t>Rendimentos Isentos</t>
  </si>
  <si>
    <t>Investimentos</t>
  </si>
  <si>
    <t>Patrimonio</t>
  </si>
  <si>
    <t>Imposto Devido</t>
  </si>
  <si>
    <t>Restituição Estimada</t>
  </si>
  <si>
    <t>Lançamentos Hospitalares: Titular</t>
  </si>
  <si>
    <t>Lançamentos Farmaceuticos: Titular</t>
  </si>
  <si>
    <t>Lançamentos Odontológicos: Titular</t>
  </si>
  <si>
    <t>Lançamentos Hospitalares: Dependente</t>
  </si>
  <si>
    <t>Lançamentos Farmaceuticos: Dependente</t>
  </si>
  <si>
    <t>Lançamentos Odontológicos: Dependente</t>
  </si>
  <si>
    <t>6. NOTAS BANCÁRIAS OU EXTRATO DE HOLERITES</t>
  </si>
  <si>
    <t>ENTRADAS</t>
  </si>
  <si>
    <t>DATA</t>
  </si>
  <si>
    <t>CATEGORIA</t>
  </si>
  <si>
    <t>VALOR</t>
  </si>
  <si>
    <t xml:space="preserve">Manoel </t>
  </si>
  <si>
    <t>Maria</t>
  </si>
  <si>
    <t>Bela</t>
  </si>
  <si>
    <t>111.111.111-33</t>
  </si>
  <si>
    <t>Digito</t>
  </si>
  <si>
    <t>Fabrica de Estudos</t>
  </si>
  <si>
    <t>Salário</t>
  </si>
  <si>
    <t>Binance</t>
  </si>
  <si>
    <t>Tesouro Selic</t>
  </si>
  <si>
    <t>Shibainu</t>
  </si>
  <si>
    <t>Publico</t>
  </si>
  <si>
    <t>Petrobras (PETR4)</t>
  </si>
  <si>
    <t>Procedimento</t>
  </si>
  <si>
    <t>Stética</t>
  </si>
  <si>
    <t>Total a ser reembolsado</t>
  </si>
  <si>
    <t>Internação</t>
  </si>
  <si>
    <t>Consulta</t>
  </si>
  <si>
    <t>Medicamento</t>
  </si>
  <si>
    <t>Extração</t>
  </si>
  <si>
    <t>FREELANCE</t>
  </si>
  <si>
    <t>LCI</t>
  </si>
  <si>
    <t>Imobiliário</t>
  </si>
  <si>
    <t>Valor Investido</t>
  </si>
  <si>
    <t>Rendimento</t>
  </si>
  <si>
    <t>Investimento</t>
  </si>
  <si>
    <t>Tesouro IPCA+</t>
  </si>
  <si>
    <t>Aluguel</t>
  </si>
  <si>
    <t>Imóvel</t>
  </si>
  <si>
    <t>Título Público</t>
  </si>
  <si>
    <t>Tributaveis CLT</t>
  </si>
  <si>
    <t>BANCOS CADASTRADO NO 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</si>
</sst>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000,000,000"/>
    <numFmt numFmtId="168" formatCode="00&quot;/&quot;00&quot;/&quot;0000"/>
    <numFmt numFmtId="169" formatCode="&quot;R$&quot;\ #,##0.00"/>
    <numFmt numFmtId="170" formatCode="00&quot;.&quot;000&quot;.&quot;000&quot;/&quot;0000&quot;-&quot;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13A1B"/>
      <name val="Calibri"/>
      <family val="2"/>
      <scheme val="minor"/>
    </font>
    <font>
      <b/>
      <sz val="11"/>
      <color theme="1"/>
      <name val="Segoe UI Light"/>
      <family val="2"/>
    </font>
    <font>
      <b/>
      <sz val="11"/>
      <color rgb="FFF13A1B"/>
      <name val="Segoe UI Light"/>
      <family val="2"/>
    </font>
    <font>
      <b/>
      <sz val="11"/>
      <name val="Segoe UI Light"/>
      <family val="2"/>
    </font>
    <font>
      <b/>
      <sz val="11"/>
      <color rgb="FFF13A1B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Segoe UI Light"/>
      <family val="2"/>
    </font>
    <font>
      <sz val="8"/>
      <name val="Calibri"/>
      <family val="2"/>
      <scheme val="minor"/>
    </font>
    <font>
      <b/>
      <sz val="15"/>
      <color rgb="FFF13A1B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13A1B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BD9D0"/>
        <bgColor indexed="64"/>
      </patternFill>
    </fill>
    <fill>
      <patternFill patternType="solid">
        <fgColor rgb="FFECE8E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24A2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 style="thick">
        <color theme="0" tint="-0.24994659260841701"/>
      </top>
      <bottom style="thin">
        <color theme="0" tint="-0.1499679555650502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" fillId="7" borderId="0" applyNumberFormat="0" applyBorder="0" applyAlignment="0" applyProtection="0"/>
  </cellStyleXfs>
  <cellXfs count="54">
    <xf numFmtId="0" fontId="0" fillId="0" borderId="0" xfId="0"/>
    <xf numFmtId="0" fontId="4" fillId="0" borderId="3" xfId="1" applyFont="1" applyBorder="1" applyAlignment="1">
      <alignment horizontal="left" indent="1"/>
    </xf>
    <xf numFmtId="0" fontId="7" fillId="0" borderId="2" xfId="0" applyFont="1" applyBorder="1" applyAlignment="1">
      <alignment horizontal="left"/>
    </xf>
    <xf numFmtId="0" fontId="8" fillId="4" borderId="4" xfId="0" applyFont="1" applyFill="1" applyBorder="1" applyAlignment="1">
      <alignment horizontal="left" indent="3"/>
    </xf>
    <xf numFmtId="0" fontId="6" fillId="4" borderId="0" xfId="0" applyFont="1" applyFill="1" applyAlignment="1">
      <alignment horizontal="left" indent="3"/>
    </xf>
    <xf numFmtId="0" fontId="4" fillId="0" borderId="3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9" fontId="5" fillId="5" borderId="2" xfId="2" applyNumberFormat="1" applyFont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3" fillId="0" borderId="3" xfId="1" applyFont="1" applyBorder="1" applyAlignment="1">
      <alignment horizontal="center"/>
    </xf>
    <xf numFmtId="0" fontId="13" fillId="0" borderId="3" xfId="1" applyFont="1" applyBorder="1" applyAlignment="1">
      <alignment horizontal="left" indent="1"/>
    </xf>
    <xf numFmtId="0" fontId="7" fillId="0" borderId="0" xfId="0" applyFont="1" applyAlignment="1">
      <alignment horizontal="left"/>
    </xf>
    <xf numFmtId="169" fontId="0" fillId="6" borderId="0" xfId="0" applyNumberFormat="1" applyFill="1" applyAlignment="1">
      <alignment horizontal="center"/>
    </xf>
    <xf numFmtId="0" fontId="5" fillId="8" borderId="0" xfId="0" applyFont="1" applyFill="1" applyAlignment="1">
      <alignment horizontal="left" indent="3"/>
    </xf>
    <xf numFmtId="0" fontId="5" fillId="5" borderId="2" xfId="2" applyFont="1" applyFill="1" applyBorder="1" applyAlignment="1" applyProtection="1">
      <alignment horizontal="center"/>
      <protection locked="0"/>
    </xf>
    <xf numFmtId="164" fontId="5" fillId="5" borderId="2" xfId="2" applyNumberFormat="1" applyFont="1" applyFill="1" applyBorder="1" applyAlignment="1" applyProtection="1">
      <alignment horizontal="center"/>
      <protection locked="0"/>
    </xf>
    <xf numFmtId="168" fontId="5" fillId="5" borderId="2" xfId="2" applyNumberFormat="1" applyFont="1" applyFill="1" applyBorder="1" applyAlignment="1" applyProtection="1">
      <alignment horizontal="center"/>
      <protection locked="0"/>
    </xf>
    <xf numFmtId="167" fontId="5" fillId="5" borderId="2" xfId="2" applyNumberFormat="1" applyFont="1" applyFill="1" applyBorder="1" applyAlignment="1" applyProtection="1">
      <alignment horizontal="center"/>
      <protection locked="0"/>
    </xf>
    <xf numFmtId="49" fontId="5" fillId="5" borderId="2" xfId="2" applyNumberFormat="1" applyFont="1" applyFill="1" applyBorder="1" applyAlignment="1" applyProtection="1">
      <alignment horizontal="center"/>
      <protection locked="0"/>
    </xf>
    <xf numFmtId="165" fontId="5" fillId="5" borderId="2" xfId="2" applyNumberFormat="1" applyFont="1" applyFill="1" applyBorder="1" applyAlignment="1" applyProtection="1">
      <alignment horizontal="center"/>
      <protection locked="0"/>
    </xf>
    <xf numFmtId="166" fontId="5" fillId="5" borderId="2" xfId="2" applyNumberFormat="1" applyFont="1" applyFill="1" applyBorder="1" applyAlignment="1" applyProtection="1">
      <alignment horizontal="center"/>
      <protection locked="0"/>
    </xf>
    <xf numFmtId="0" fontId="9" fillId="5" borderId="2" xfId="3" applyFill="1" applyBorder="1" applyAlignment="1" applyProtection="1">
      <alignment horizontal="center"/>
      <protection locked="0"/>
    </xf>
    <xf numFmtId="0" fontId="5" fillId="5" borderId="2" xfId="2" applyNumberFormat="1" applyFont="1" applyFill="1" applyBorder="1" applyAlignment="1" applyProtection="1">
      <alignment horizontal="center"/>
      <protection locked="0"/>
    </xf>
    <xf numFmtId="2" fontId="5" fillId="5" borderId="2" xfId="2" applyNumberFormat="1" applyFont="1" applyFill="1" applyBorder="1" applyAlignment="1" applyProtection="1">
      <alignment horizontal="center"/>
      <protection locked="0"/>
    </xf>
    <xf numFmtId="170" fontId="5" fillId="5" borderId="2" xfId="2" applyNumberFormat="1" applyFont="1" applyFill="1" applyBorder="1" applyAlignment="1" applyProtection="1">
      <alignment horizontal="center"/>
      <protection locked="0"/>
    </xf>
    <xf numFmtId="169" fontId="5" fillId="5" borderId="2" xfId="2" applyNumberFormat="1" applyFont="1" applyFill="1" applyBorder="1" applyAlignment="1" applyProtection="1">
      <alignment horizontal="center"/>
      <protection locked="0"/>
    </xf>
    <xf numFmtId="0" fontId="5" fillId="5" borderId="2" xfId="2" applyFont="1" applyFill="1" applyBorder="1" applyAlignment="1" applyProtection="1">
      <alignment horizontal="left"/>
      <protection locked="0"/>
    </xf>
    <xf numFmtId="169" fontId="5" fillId="5" borderId="2" xfId="2" applyNumberFormat="1" applyFont="1" applyFill="1" applyBorder="1" applyAlignment="1" applyProtection="1">
      <alignment horizontal="left"/>
      <protection locked="0"/>
    </xf>
    <xf numFmtId="0" fontId="9" fillId="5" borderId="2" xfId="3" applyFill="1" applyBorder="1" applyAlignment="1" applyProtection="1">
      <alignment horizontal="left"/>
      <protection locked="0"/>
    </xf>
    <xf numFmtId="1" fontId="5" fillId="5" borderId="2" xfId="2" applyNumberFormat="1" applyFont="1" applyFill="1" applyBorder="1" applyAlignment="1" applyProtection="1">
      <alignment horizontal="center"/>
      <protection locked="0"/>
    </xf>
    <xf numFmtId="168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9" fontId="11" fillId="0" borderId="0" xfId="0" applyNumberFormat="1" applyFon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6" fillId="4" borderId="0" xfId="0" applyFont="1" applyFill="1" applyAlignment="1">
      <alignment horizontal="left" indent="3"/>
    </xf>
    <xf numFmtId="0" fontId="7" fillId="4" borderId="0" xfId="0" applyFont="1" applyFill="1" applyAlignment="1">
      <alignment horizontal="left" indent="3"/>
    </xf>
    <xf numFmtId="0" fontId="8" fillId="4" borderId="4" xfId="0" applyFont="1" applyFill="1" applyBorder="1" applyAlignment="1">
      <alignment horizontal="left" indent="3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69" fontId="3" fillId="8" borderId="0" xfId="4" applyNumberFormat="1" applyFont="1" applyFill="1" applyAlignment="1">
      <alignment horizontal="center"/>
    </xf>
    <xf numFmtId="0" fontId="3" fillId="8" borderId="0" xfId="4" applyFont="1" applyFill="1" applyAlignment="1">
      <alignment horizontal="center"/>
    </xf>
    <xf numFmtId="0" fontId="8" fillId="4" borderId="5" xfId="0" applyFont="1" applyFill="1" applyBorder="1" applyAlignment="1">
      <alignment horizontal="left" indent="3"/>
    </xf>
    <xf numFmtId="0" fontId="6" fillId="4" borderId="4" xfId="0" applyFont="1" applyFill="1" applyBorder="1" applyAlignment="1">
      <alignment horizontal="left" indent="3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20% - Ênfase3" xfId="4" builtinId="38"/>
    <cellStyle name="40% - Ênfase3" xfId="2" builtinId="39"/>
    <cellStyle name="Hiperlink" xfId="3" builtinId="8"/>
    <cellStyle name="Normal" xfId="0" builtinId="0"/>
    <cellStyle name="Título 1" xfId="1" builtinId="16"/>
  </cellStyles>
  <dxfs count="5">
    <dxf>
      <numFmt numFmtId="169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24A2E"/>
        </patternFill>
      </fill>
    </dxf>
  </dxfs>
  <tableStyles count="0" defaultTableStyle="TableStyleMedium2" defaultPivotStyle="PivotStyleLight16"/>
  <colors>
    <mruColors>
      <color rgb="FFFFD9D9"/>
      <color rgb="FFF24A2E"/>
      <color rgb="FFECE8E3"/>
      <color rgb="FFF13A1B"/>
      <color rgb="FFFBD9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VESTIMENTOS!C1"/><Relationship Id="rId13" Type="http://schemas.openxmlformats.org/officeDocument/2006/relationships/image" Target="../media/image3.jpeg"/><Relationship Id="rId3" Type="http://schemas.openxmlformats.org/officeDocument/2006/relationships/image" Target="../media/image2.png"/><Relationship Id="rId7" Type="http://schemas.openxmlformats.org/officeDocument/2006/relationships/hyperlink" Target="#BANCOS!C1"/><Relationship Id="rId12" Type="http://schemas.openxmlformats.org/officeDocument/2006/relationships/hyperlink" Target="https://web.dio.me/play" TargetMode="External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RENDIMENTOS!C1"/><Relationship Id="rId11" Type="http://schemas.openxmlformats.org/officeDocument/2006/relationships/hyperlink" Target="#RESUMO!A1"/><Relationship Id="rId5" Type="http://schemas.openxmlformats.org/officeDocument/2006/relationships/hyperlink" Target="#RENDIMENTOS!A1"/><Relationship Id="rId15" Type="http://schemas.openxmlformats.org/officeDocument/2006/relationships/image" Target="../media/image4.png"/><Relationship Id="rId10" Type="http://schemas.openxmlformats.org/officeDocument/2006/relationships/hyperlink" Target="#NOTAS!A1"/><Relationship Id="rId4" Type="http://schemas.openxmlformats.org/officeDocument/2006/relationships/hyperlink" Target="#CADASTRO!C1"/><Relationship Id="rId9" Type="http://schemas.openxmlformats.org/officeDocument/2006/relationships/hyperlink" Target="#INFORMES!C1"/><Relationship Id="rId14" Type="http://schemas.openxmlformats.org/officeDocument/2006/relationships/hyperlink" Target="https://github.com/jessealves-jpg?tab=repositories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RENDIMENT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BANCOS!C1"/><Relationship Id="rId10" Type="http://schemas.openxmlformats.org/officeDocument/2006/relationships/hyperlink" Target="#RESUMO!A1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18" Type="http://schemas.openxmlformats.org/officeDocument/2006/relationships/image" Target="../media/image8.svg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17" Type="http://schemas.openxmlformats.org/officeDocument/2006/relationships/image" Target="../media/image7.png"/><Relationship Id="rId2" Type="http://schemas.openxmlformats.org/officeDocument/2006/relationships/hyperlink" Target="http://www.linkedin.com/in/jesse-alvesde" TargetMode="External"/><Relationship Id="rId16" Type="http://schemas.openxmlformats.org/officeDocument/2006/relationships/image" Target="../media/image6.svg"/><Relationship Id="rId20" Type="http://schemas.openxmlformats.org/officeDocument/2006/relationships/image" Target="../media/image10.svg"/><Relationship Id="rId1" Type="http://schemas.openxmlformats.org/officeDocument/2006/relationships/image" Target="../media/image1.png"/><Relationship Id="rId6" Type="http://schemas.openxmlformats.org/officeDocument/2006/relationships/hyperlink" Target="#BANC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RENDIMENTOS!C1"/><Relationship Id="rId15" Type="http://schemas.openxmlformats.org/officeDocument/2006/relationships/image" Target="../media/image5.png"/><Relationship Id="rId10" Type="http://schemas.openxmlformats.org/officeDocument/2006/relationships/hyperlink" Target="#RESUMO!A1"/><Relationship Id="rId19" Type="http://schemas.openxmlformats.org/officeDocument/2006/relationships/image" Target="../media/image9.png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BANC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RENDIMENTOS!C1"/><Relationship Id="rId10" Type="http://schemas.openxmlformats.org/officeDocument/2006/relationships/hyperlink" Target="#RESUMO!A1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BANC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RENDIMENTOS!C1"/><Relationship Id="rId15" Type="http://schemas.openxmlformats.org/officeDocument/2006/relationships/hyperlink" Target="#NOTAS!C1"/><Relationship Id="rId10" Type="http://schemas.openxmlformats.org/officeDocument/2006/relationships/hyperlink" Target="#RESUMO!A1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BANC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RENDIMENTOS!C1"/><Relationship Id="rId15" Type="http://schemas.openxmlformats.org/officeDocument/2006/relationships/hyperlink" Target="#RESUMO!C1"/><Relationship Id="rId10" Type="http://schemas.openxmlformats.org/officeDocument/2006/relationships/hyperlink" Target="#RESUMO!A1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13" Type="http://schemas.openxmlformats.org/officeDocument/2006/relationships/hyperlink" Target="https://github.com/jessealves-jpg?tab=repositories" TargetMode="External"/><Relationship Id="rId3" Type="http://schemas.openxmlformats.org/officeDocument/2006/relationships/image" Target="../media/image2.png"/><Relationship Id="rId7" Type="http://schemas.openxmlformats.org/officeDocument/2006/relationships/hyperlink" Target="#INVESTIMENTOS!C1"/><Relationship Id="rId12" Type="http://schemas.openxmlformats.org/officeDocument/2006/relationships/image" Target="../media/image3.jpeg"/><Relationship Id="rId2" Type="http://schemas.openxmlformats.org/officeDocument/2006/relationships/hyperlink" Target="http://www.linkedin.com/in/jesse-alvesde" TargetMode="External"/><Relationship Id="rId1" Type="http://schemas.openxmlformats.org/officeDocument/2006/relationships/image" Target="../media/image1.png"/><Relationship Id="rId6" Type="http://schemas.openxmlformats.org/officeDocument/2006/relationships/hyperlink" Target="#BANCOS!C1"/><Relationship Id="rId11" Type="http://schemas.openxmlformats.org/officeDocument/2006/relationships/hyperlink" Target="https://web.dio.me/play" TargetMode="External"/><Relationship Id="rId5" Type="http://schemas.openxmlformats.org/officeDocument/2006/relationships/hyperlink" Target="#RENDIMENTOS!C1"/><Relationship Id="rId15" Type="http://schemas.openxmlformats.org/officeDocument/2006/relationships/hyperlink" Target="#NOTAS!C1"/><Relationship Id="rId10" Type="http://schemas.openxmlformats.org/officeDocument/2006/relationships/hyperlink" Target="#RESUMO!A1"/><Relationship Id="rId4" Type="http://schemas.openxmlformats.org/officeDocument/2006/relationships/hyperlink" Target="#CADASTRO!C1"/><Relationship Id="rId9" Type="http://schemas.openxmlformats.org/officeDocument/2006/relationships/hyperlink" Target="#NOTAS!A1"/><Relationship Id="rId1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3FF240-4F98-0A7D-D62A-4B7A96D5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6BF6AEC-CFC9-0C2E-1185-C84B26D16365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14" name="Imagem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27CC53-F707-8888-65CE-873A2974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152543"/>
          <a:ext cx="846666" cy="27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6260A-DF4A-44A4-8CDE-7C5761A44E1C}"/>
            </a:ext>
          </a:extLst>
        </xdr:cNvPr>
        <xdr:cNvSpPr/>
      </xdr:nvSpPr>
      <xdr:spPr>
        <a:xfrm>
          <a:off x="0" y="3076575"/>
          <a:ext cx="2930828" cy="41963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3</xdr:col>
      <xdr:colOff>2463799</xdr:colOff>
      <xdr:row>41</xdr:row>
      <xdr:rowOff>31751</xdr:rowOff>
    </xdr:from>
    <xdr:to>
      <xdr:col>4</xdr:col>
      <xdr:colOff>1830916</xdr:colOff>
      <xdr:row>44</xdr:row>
      <xdr:rowOff>31751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766305-F82C-4446-B9A2-B376AC5ABE91}"/>
            </a:ext>
          </a:extLst>
        </xdr:cNvPr>
        <xdr:cNvSpPr/>
      </xdr:nvSpPr>
      <xdr:spPr>
        <a:xfrm>
          <a:off x="6040966" y="7048501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1358899</xdr:colOff>
      <xdr:row>41</xdr:row>
      <xdr:rowOff>162985</xdr:rowOff>
    </xdr:from>
    <xdr:to>
      <xdr:col>4</xdr:col>
      <xdr:colOff>1707091</xdr:colOff>
      <xdr:row>43</xdr:row>
      <xdr:rowOff>60326</xdr:rowOff>
    </xdr:to>
    <xdr:sp macro="" textlink="">
      <xdr:nvSpPr>
        <xdr:cNvPr id="13" name="Seta: para a Direita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C5687D-E0B3-44C3-A4FE-51F8FF5719A2}"/>
            </a:ext>
          </a:extLst>
        </xdr:cNvPr>
        <xdr:cNvSpPr/>
      </xdr:nvSpPr>
      <xdr:spPr>
        <a:xfrm>
          <a:off x="7941732" y="7179735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FA7C4C-CC84-409A-AD18-B8E098B9AB9C}"/>
            </a:ext>
          </a:extLst>
        </xdr:cNvPr>
        <xdr:cNvSpPr/>
      </xdr:nvSpPr>
      <xdr:spPr>
        <a:xfrm>
          <a:off x="0" y="3547926"/>
          <a:ext cx="2930828" cy="4217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EE427B-963B-4CF1-A2BE-430D9E5A108E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20" name="Retângulo: Cantos Arredondados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9955A8E-481F-4AE0-9F9D-271797BD3A98}"/>
            </a:ext>
          </a:extLst>
        </xdr:cNvPr>
        <xdr:cNvSpPr/>
      </xdr:nvSpPr>
      <xdr:spPr>
        <a:xfrm>
          <a:off x="0" y="4490628"/>
          <a:ext cx="2930828" cy="4217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25" name="Retângulo: Cantos Arredondados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6F826C-B1FC-A1A4-38D2-A251C9A47E41}"/>
            </a:ext>
          </a:extLst>
        </xdr:cNvPr>
        <xdr:cNvSpPr/>
      </xdr:nvSpPr>
      <xdr:spPr>
        <a:xfrm>
          <a:off x="0" y="4964096"/>
          <a:ext cx="2930828" cy="4196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29" name="Retângulo: Cantos Arredondados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36823F1-C86C-4AE7-B57A-DA083F6FFCE7}"/>
            </a:ext>
          </a:extLst>
        </xdr:cNvPr>
        <xdr:cNvSpPr/>
      </xdr:nvSpPr>
      <xdr:spPr>
        <a:xfrm>
          <a:off x="0" y="5435447"/>
          <a:ext cx="2930828" cy="4196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31" name="Retângulo: Cantos Arredondados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0A51BB4-32E1-45F6-A2AF-0EF8666D9F3A}"/>
            </a:ext>
          </a:extLst>
        </xdr:cNvPr>
        <xdr:cNvSpPr/>
      </xdr:nvSpPr>
      <xdr:spPr>
        <a:xfrm>
          <a:off x="0" y="5906798"/>
          <a:ext cx="2930828" cy="4217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90445BA8-D3BB-335F-78B0-68F8B5EAB47D}"/>
            </a:ext>
          </a:extLst>
        </xdr:cNvPr>
        <xdr:cNvCxnSpPr/>
      </xdr:nvCxnSpPr>
      <xdr:spPr>
        <a:xfrm>
          <a:off x="157163" y="7055406"/>
          <a:ext cx="2616503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34" name="Imagem 33" descr="DIO Funcionários, localidade, ex-alunos | LinkedIn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C1AB808-294B-A58C-A7AF-812EB917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244" y="7122584"/>
          <a:ext cx="340340" cy="32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6EEF7DF3-45A7-09A9-0108-733C469CC4E6}"/>
            </a:ext>
          </a:extLst>
        </xdr:cNvPr>
        <xdr:cNvSpPr/>
      </xdr:nvSpPr>
      <xdr:spPr>
        <a:xfrm>
          <a:off x="497417" y="6828584"/>
          <a:ext cx="21907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43" name="Imagem 42" descr="Logotipo do github - ícones de mídia social gráti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1EB8CB6-25B6-A113-4955-0BF703B7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667" y="7114336"/>
          <a:ext cx="468000" cy="325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9D55F90D-AC1B-4CEC-9216-DCBD1D42235C}"/>
            </a:ext>
          </a:extLst>
        </xdr:cNvPr>
        <xdr:cNvCxnSpPr/>
      </xdr:nvCxnSpPr>
      <xdr:spPr>
        <a:xfrm>
          <a:off x="193147" y="7504140"/>
          <a:ext cx="2616503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873689-2214-492A-B781-CF34CF7C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E5D8569-6565-4A01-9256-6AB9B33A44D4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1BE58D-5198-41C1-A805-BA62CAFCF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601BB2-6521-49E7-8FA4-26FB7A36E373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3</xdr:col>
      <xdr:colOff>2484968</xdr:colOff>
      <xdr:row>41</xdr:row>
      <xdr:rowOff>31748</xdr:rowOff>
    </xdr:from>
    <xdr:to>
      <xdr:col>5</xdr:col>
      <xdr:colOff>1</xdr:colOff>
      <xdr:row>44</xdr:row>
      <xdr:rowOff>31748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344318-1BB1-4AAF-BD01-15BEB72C3D43}"/>
            </a:ext>
          </a:extLst>
        </xdr:cNvPr>
        <xdr:cNvSpPr/>
      </xdr:nvSpPr>
      <xdr:spPr>
        <a:xfrm>
          <a:off x="6062135" y="7048498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1305984</xdr:colOff>
      <xdr:row>41</xdr:row>
      <xdr:rowOff>162982</xdr:rowOff>
    </xdr:from>
    <xdr:to>
      <xdr:col>4</xdr:col>
      <xdr:colOff>1654176</xdr:colOff>
      <xdr:row>43</xdr:row>
      <xdr:rowOff>60323</xdr:rowOff>
    </xdr:to>
    <xdr:sp macro="" textlink="">
      <xdr:nvSpPr>
        <xdr:cNvPr id="7" name="Seta: para a Direita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E979AD-8B79-44AF-8D51-1A159A9E3E7A}"/>
            </a:ext>
          </a:extLst>
        </xdr:cNvPr>
        <xdr:cNvSpPr/>
      </xdr:nvSpPr>
      <xdr:spPr>
        <a:xfrm>
          <a:off x="7962901" y="7179732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F45893-6A9A-4442-B965-A6CE43C3359A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A7C274-D86F-4A7A-8AC6-B04C889DF70E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09ED9B8-BCFF-4D09-81A1-AE79E8DB7CBB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FB4D38-06F4-4AAA-A024-59810F4FB596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A9628D-4683-4935-8B36-49778DA77888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50011B3-D244-4E97-B917-D827E39B1E75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EA11CB11-976A-4C30-85D1-2EA8677B096D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8F8FC3-231E-41E8-AC16-480CDA803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68C95D2E-05C9-490B-BCA1-AEF7EF7D3D84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B1D182C-D259-4CEE-89C3-E216F812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C10284C-ADF7-464A-B245-16EB29E68A1F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23285</xdr:colOff>
      <xdr:row>41</xdr:row>
      <xdr:rowOff>21165</xdr:rowOff>
    </xdr:from>
    <xdr:to>
      <xdr:col>3</xdr:col>
      <xdr:colOff>2396068</xdr:colOff>
      <xdr:row>44</xdr:row>
      <xdr:rowOff>21165</xdr:rowOff>
    </xdr:to>
    <xdr:sp macro="" textlink="">
      <xdr:nvSpPr>
        <xdr:cNvPr id="19" name="Retângulo: Cantos Arredondados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5B10A3-0433-4012-B1C7-0AE6E0566A92}"/>
            </a:ext>
          </a:extLst>
        </xdr:cNvPr>
        <xdr:cNvSpPr/>
      </xdr:nvSpPr>
      <xdr:spPr>
        <a:xfrm>
          <a:off x="3600452" y="7037915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161926</xdr:colOff>
      <xdr:row>41</xdr:row>
      <xdr:rowOff>154515</xdr:rowOff>
    </xdr:from>
    <xdr:to>
      <xdr:col>3</xdr:col>
      <xdr:colOff>510118</xdr:colOff>
      <xdr:row>43</xdr:row>
      <xdr:rowOff>51856</xdr:rowOff>
    </xdr:to>
    <xdr:sp macro="" textlink="">
      <xdr:nvSpPr>
        <xdr:cNvPr id="22" name="Seta: para a Direita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D85083-5116-4E55-979E-31445D15941A}"/>
            </a:ext>
          </a:extLst>
        </xdr:cNvPr>
        <xdr:cNvSpPr/>
      </xdr:nvSpPr>
      <xdr:spPr>
        <a:xfrm rot="10800000">
          <a:off x="3739093" y="7171265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B37907-797C-4356-9254-4603553EE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95F4175-3013-4503-8D0F-886D565218AD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627898-7C41-4151-A917-51870680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96F01E-F8B6-4204-848A-00B327BF6E7A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F99B11-844D-4887-8795-0CDE97A6B092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229126-041D-4262-89D6-944CE505BB41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D267A8-175E-4043-840E-895F76708A45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F3A68B-23CD-4663-82D9-CC757B5A824A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22D28F-F0E3-4C48-8CFC-C7A65748BF4B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8513B8-616A-46EA-A31B-C74C0FDD2AB7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47AF9A0D-D3F2-4541-B08E-13B384FD63A9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234AB9E-6AB0-406D-A52A-D1A55351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354E67E-82F9-4E6A-9665-5C97A628D14B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535F897-2E84-4B42-8C3B-ACBA948E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E4798B3C-9064-48A6-84D3-CB314B3ED28F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2482851</xdr:colOff>
      <xdr:row>41</xdr:row>
      <xdr:rowOff>31750</xdr:rowOff>
    </xdr:from>
    <xdr:to>
      <xdr:col>4</xdr:col>
      <xdr:colOff>1849968</xdr:colOff>
      <xdr:row>44</xdr:row>
      <xdr:rowOff>31750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97BDAC-F01A-4996-AFA6-AEACA81CD547}"/>
            </a:ext>
          </a:extLst>
        </xdr:cNvPr>
        <xdr:cNvSpPr/>
      </xdr:nvSpPr>
      <xdr:spPr>
        <a:xfrm>
          <a:off x="6060018" y="7048500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1377951</xdr:colOff>
      <xdr:row>41</xdr:row>
      <xdr:rowOff>162984</xdr:rowOff>
    </xdr:from>
    <xdr:to>
      <xdr:col>4</xdr:col>
      <xdr:colOff>1726143</xdr:colOff>
      <xdr:row>43</xdr:row>
      <xdr:rowOff>60325</xdr:rowOff>
    </xdr:to>
    <xdr:sp macro="" textlink="">
      <xdr:nvSpPr>
        <xdr:cNvPr id="20" name="Seta: para a Direita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6FA04B-B5CC-4BB5-A344-4DEF49AEE725}"/>
            </a:ext>
          </a:extLst>
        </xdr:cNvPr>
        <xdr:cNvSpPr/>
      </xdr:nvSpPr>
      <xdr:spPr>
        <a:xfrm>
          <a:off x="7960784" y="7179734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21168</xdr:colOff>
      <xdr:row>41</xdr:row>
      <xdr:rowOff>21167</xdr:rowOff>
    </xdr:from>
    <xdr:to>
      <xdr:col>3</xdr:col>
      <xdr:colOff>2393951</xdr:colOff>
      <xdr:row>44</xdr:row>
      <xdr:rowOff>21167</xdr:rowOff>
    </xdr:to>
    <xdr:sp macro="" textlink="">
      <xdr:nvSpPr>
        <xdr:cNvPr id="21" name="Retângulo: Cantos Arredondados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CD7371-2348-4512-9D95-B84D55CAB66B}"/>
            </a:ext>
          </a:extLst>
        </xdr:cNvPr>
        <xdr:cNvSpPr/>
      </xdr:nvSpPr>
      <xdr:spPr>
        <a:xfrm>
          <a:off x="3598335" y="7037917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159809</xdr:colOff>
      <xdr:row>41</xdr:row>
      <xdr:rowOff>154517</xdr:rowOff>
    </xdr:from>
    <xdr:to>
      <xdr:col>3</xdr:col>
      <xdr:colOff>508001</xdr:colOff>
      <xdr:row>43</xdr:row>
      <xdr:rowOff>51858</xdr:rowOff>
    </xdr:to>
    <xdr:sp macro="" textlink="">
      <xdr:nvSpPr>
        <xdr:cNvPr id="22" name="Seta: para a Direita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D75CFD-7B6A-4FFE-A2F9-EAEDADBC43F4}"/>
            </a:ext>
          </a:extLst>
        </xdr:cNvPr>
        <xdr:cNvSpPr/>
      </xdr:nvSpPr>
      <xdr:spPr>
        <a:xfrm rot="10800000">
          <a:off x="3736976" y="7171267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</xdr:col>
      <xdr:colOff>2711452</xdr:colOff>
      <xdr:row>16</xdr:row>
      <xdr:rowOff>12699</xdr:rowOff>
    </xdr:from>
    <xdr:ext cx="257173" cy="188385"/>
    <xdr:pic>
      <xdr:nvPicPr>
        <xdr:cNvPr id="29" name="Gráfico 28" descr="Clipe de papel">
          <a:extLst>
            <a:ext uri="{FF2B5EF4-FFF2-40B4-BE49-F238E27FC236}">
              <a16:creationId xmlns:a16="http://schemas.microsoft.com/office/drawing/2014/main" id="{BC0714E8-7CF2-4A65-BF1D-8FFDB280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88619" y="2796116"/>
          <a:ext cx="257173" cy="188385"/>
        </a:xfrm>
        <a:prstGeom prst="rect">
          <a:avLst/>
        </a:prstGeom>
      </xdr:spPr>
    </xdr:pic>
    <xdr:clientData/>
  </xdr:oneCellAnchor>
  <xdr:oneCellAnchor>
    <xdr:from>
      <xdr:col>3</xdr:col>
      <xdr:colOff>2742143</xdr:colOff>
      <xdr:row>14</xdr:row>
      <xdr:rowOff>137584</xdr:rowOff>
    </xdr:from>
    <xdr:ext cx="189441" cy="189441"/>
    <xdr:pic>
      <xdr:nvPicPr>
        <xdr:cNvPr id="30" name="Gráfico 29" descr="Dólar">
          <a:extLst>
            <a:ext uri="{FF2B5EF4-FFF2-40B4-BE49-F238E27FC236}">
              <a16:creationId xmlns:a16="http://schemas.microsoft.com/office/drawing/2014/main" id="{4328DC7A-C160-4F58-8C22-0B798F0A6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319310" y="2582334"/>
          <a:ext cx="189441" cy="189441"/>
        </a:xfrm>
        <a:prstGeom prst="rect">
          <a:avLst/>
        </a:prstGeom>
      </xdr:spPr>
    </xdr:pic>
    <xdr:clientData/>
  </xdr:oneCellAnchor>
  <xdr:oneCellAnchor>
    <xdr:from>
      <xdr:col>3</xdr:col>
      <xdr:colOff>2710393</xdr:colOff>
      <xdr:row>13</xdr:row>
      <xdr:rowOff>158750</xdr:rowOff>
    </xdr:from>
    <xdr:ext cx="263827" cy="179916"/>
    <xdr:pic>
      <xdr:nvPicPr>
        <xdr:cNvPr id="31" name="Gráfico 30" descr="Banco">
          <a:extLst>
            <a:ext uri="{FF2B5EF4-FFF2-40B4-BE49-F238E27FC236}">
              <a16:creationId xmlns:a16="http://schemas.microsoft.com/office/drawing/2014/main" id="{64D058D8-647D-4F2D-994B-B02927C9A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287560" y="2434167"/>
          <a:ext cx="263827" cy="179916"/>
        </a:xfrm>
        <a:prstGeom prst="rect">
          <a:avLst/>
        </a:prstGeom>
      </xdr:spPr>
    </xdr:pic>
    <xdr:clientData/>
  </xdr:oneCellAnchor>
  <xdr:oneCellAnchor>
    <xdr:from>
      <xdr:col>3</xdr:col>
      <xdr:colOff>2705102</xdr:colOff>
      <xdr:row>6</xdr:row>
      <xdr:rowOff>165099</xdr:rowOff>
    </xdr:from>
    <xdr:ext cx="257173" cy="188385"/>
    <xdr:pic>
      <xdr:nvPicPr>
        <xdr:cNvPr id="32" name="Gráfico 31" descr="Clipe de papel">
          <a:extLst>
            <a:ext uri="{FF2B5EF4-FFF2-40B4-BE49-F238E27FC236}">
              <a16:creationId xmlns:a16="http://schemas.microsoft.com/office/drawing/2014/main" id="{00BE3078-D931-4812-9364-C8247B5D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82269" y="1255182"/>
          <a:ext cx="257173" cy="188385"/>
        </a:xfrm>
        <a:prstGeom prst="rect">
          <a:avLst/>
        </a:prstGeom>
      </xdr:spPr>
    </xdr:pic>
    <xdr:clientData/>
  </xdr:oneCellAnchor>
  <xdr:oneCellAnchor>
    <xdr:from>
      <xdr:col>3</xdr:col>
      <xdr:colOff>2735793</xdr:colOff>
      <xdr:row>5</xdr:row>
      <xdr:rowOff>152401</xdr:rowOff>
    </xdr:from>
    <xdr:ext cx="189441" cy="189441"/>
    <xdr:pic>
      <xdr:nvPicPr>
        <xdr:cNvPr id="33" name="Gráfico 32" descr="Dólar">
          <a:extLst>
            <a:ext uri="{FF2B5EF4-FFF2-40B4-BE49-F238E27FC236}">
              <a16:creationId xmlns:a16="http://schemas.microsoft.com/office/drawing/2014/main" id="{7F9A88A6-6EE8-443B-BB25-6F00E65F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312960" y="1073151"/>
          <a:ext cx="189441" cy="189441"/>
        </a:xfrm>
        <a:prstGeom prst="rect">
          <a:avLst/>
        </a:prstGeom>
      </xdr:spPr>
    </xdr:pic>
    <xdr:clientData/>
  </xdr:oneCellAnchor>
  <xdr:oneCellAnchor>
    <xdr:from>
      <xdr:col>3</xdr:col>
      <xdr:colOff>2698750</xdr:colOff>
      <xdr:row>4</xdr:row>
      <xdr:rowOff>158750</xdr:rowOff>
    </xdr:from>
    <xdr:ext cx="263827" cy="179916"/>
    <xdr:pic>
      <xdr:nvPicPr>
        <xdr:cNvPr id="34" name="Gráfico 33" descr="Banco">
          <a:extLst>
            <a:ext uri="{FF2B5EF4-FFF2-40B4-BE49-F238E27FC236}">
              <a16:creationId xmlns:a16="http://schemas.microsoft.com/office/drawing/2014/main" id="{1F50508B-D782-4E0A-BDCF-B3727C325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275917" y="910167"/>
          <a:ext cx="263827" cy="179916"/>
        </a:xfrm>
        <a:prstGeom prst="rect">
          <a:avLst/>
        </a:prstGeom>
      </xdr:spPr>
    </xdr:pic>
    <xdr:clientData/>
  </xdr:oneCellAnchor>
  <xdr:oneCellAnchor>
    <xdr:from>
      <xdr:col>3</xdr:col>
      <xdr:colOff>2709333</xdr:colOff>
      <xdr:row>9</xdr:row>
      <xdr:rowOff>0</xdr:rowOff>
    </xdr:from>
    <xdr:ext cx="263827" cy="179916"/>
    <xdr:pic>
      <xdr:nvPicPr>
        <xdr:cNvPr id="35" name="Gráfico 34" descr="Banco">
          <a:extLst>
            <a:ext uri="{FF2B5EF4-FFF2-40B4-BE49-F238E27FC236}">
              <a16:creationId xmlns:a16="http://schemas.microsoft.com/office/drawing/2014/main" id="{A083CFCD-8D24-42AF-BF76-51CF358D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286500" y="1598083"/>
          <a:ext cx="263827" cy="179916"/>
        </a:xfrm>
        <a:prstGeom prst="rect">
          <a:avLst/>
        </a:prstGeom>
      </xdr:spPr>
    </xdr:pic>
    <xdr:clientData/>
  </xdr:oneCellAnchor>
  <xdr:oneCellAnchor>
    <xdr:from>
      <xdr:col>3</xdr:col>
      <xdr:colOff>2726269</xdr:colOff>
      <xdr:row>11</xdr:row>
      <xdr:rowOff>6349</xdr:rowOff>
    </xdr:from>
    <xdr:ext cx="257173" cy="188385"/>
    <xdr:pic>
      <xdr:nvPicPr>
        <xdr:cNvPr id="39" name="Gráfico 38" descr="Clipe de papel">
          <a:extLst>
            <a:ext uri="{FF2B5EF4-FFF2-40B4-BE49-F238E27FC236}">
              <a16:creationId xmlns:a16="http://schemas.microsoft.com/office/drawing/2014/main" id="{3DE35A4D-3754-432A-A14F-C449B0D54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303436" y="1943099"/>
          <a:ext cx="257173" cy="188385"/>
        </a:xfrm>
        <a:prstGeom prst="rect">
          <a:avLst/>
        </a:prstGeom>
      </xdr:spPr>
    </xdr:pic>
    <xdr:clientData/>
  </xdr:oneCellAnchor>
  <xdr:oneCellAnchor>
    <xdr:from>
      <xdr:col>3</xdr:col>
      <xdr:colOff>2746376</xdr:colOff>
      <xdr:row>10</xdr:row>
      <xdr:rowOff>4233</xdr:rowOff>
    </xdr:from>
    <xdr:ext cx="189441" cy="189441"/>
    <xdr:pic>
      <xdr:nvPicPr>
        <xdr:cNvPr id="40" name="Gráfico 39" descr="Dólar">
          <a:extLst>
            <a:ext uri="{FF2B5EF4-FFF2-40B4-BE49-F238E27FC236}">
              <a16:creationId xmlns:a16="http://schemas.microsoft.com/office/drawing/2014/main" id="{1424FC92-CF5C-4284-8904-534BA0FC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323543" y="1771650"/>
          <a:ext cx="189441" cy="189441"/>
        </a:xfrm>
        <a:prstGeom prst="rect">
          <a:avLst/>
        </a:prstGeom>
      </xdr:spPr>
    </xdr:pic>
    <xdr:clientData/>
  </xdr:oneCellAnchor>
  <xdr:oneCellAnchor>
    <xdr:from>
      <xdr:col>3</xdr:col>
      <xdr:colOff>2711452</xdr:colOff>
      <xdr:row>21</xdr:row>
      <xdr:rowOff>12699</xdr:rowOff>
    </xdr:from>
    <xdr:ext cx="257173" cy="188385"/>
    <xdr:pic>
      <xdr:nvPicPr>
        <xdr:cNvPr id="41" name="Gráfico 40" descr="Clipe de papel">
          <a:extLst>
            <a:ext uri="{FF2B5EF4-FFF2-40B4-BE49-F238E27FC236}">
              <a16:creationId xmlns:a16="http://schemas.microsoft.com/office/drawing/2014/main" id="{850E269A-08C3-4C77-8533-B969A4DC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88619" y="2796116"/>
          <a:ext cx="257173" cy="188385"/>
        </a:xfrm>
        <a:prstGeom prst="rect">
          <a:avLst/>
        </a:prstGeom>
      </xdr:spPr>
    </xdr:pic>
    <xdr:clientData/>
  </xdr:oneCellAnchor>
  <xdr:oneCellAnchor>
    <xdr:from>
      <xdr:col>3</xdr:col>
      <xdr:colOff>2742143</xdr:colOff>
      <xdr:row>19</xdr:row>
      <xdr:rowOff>137584</xdr:rowOff>
    </xdr:from>
    <xdr:ext cx="189441" cy="189441"/>
    <xdr:pic>
      <xdr:nvPicPr>
        <xdr:cNvPr id="42" name="Gráfico 41" descr="Dólar">
          <a:extLst>
            <a:ext uri="{FF2B5EF4-FFF2-40B4-BE49-F238E27FC236}">
              <a16:creationId xmlns:a16="http://schemas.microsoft.com/office/drawing/2014/main" id="{B5BC1387-0DCD-4A36-928A-A2EC677D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319310" y="2582334"/>
          <a:ext cx="189441" cy="189441"/>
        </a:xfrm>
        <a:prstGeom prst="rect">
          <a:avLst/>
        </a:prstGeom>
      </xdr:spPr>
    </xdr:pic>
    <xdr:clientData/>
  </xdr:oneCellAnchor>
  <xdr:oneCellAnchor>
    <xdr:from>
      <xdr:col>3</xdr:col>
      <xdr:colOff>2710393</xdr:colOff>
      <xdr:row>18</xdr:row>
      <xdr:rowOff>158750</xdr:rowOff>
    </xdr:from>
    <xdr:ext cx="263827" cy="179916"/>
    <xdr:pic>
      <xdr:nvPicPr>
        <xdr:cNvPr id="43" name="Gráfico 42" descr="Banco">
          <a:extLst>
            <a:ext uri="{FF2B5EF4-FFF2-40B4-BE49-F238E27FC236}">
              <a16:creationId xmlns:a16="http://schemas.microsoft.com/office/drawing/2014/main" id="{5E443679-17C5-4E08-A7CB-2EAC22B34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287560" y="2434167"/>
          <a:ext cx="263827" cy="17991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840A84-CD67-4307-9BC8-598B4ECA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DCBFEBD-79B3-4451-B5C0-B1EB5843A534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7EDB71-36F9-4B9A-940A-F546AE64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1C24F0-0658-49AE-A994-23EB63BD167D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F321E9-0804-4F3C-8DDB-1284AC839965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00DCA5-1006-4779-BCC2-988E02A60029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A00C7F-E77B-46CB-8318-2CCB806CB7E1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2A04282-75C8-414D-9DC2-CA544286813E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8E2D75-054B-499F-9919-F3DE5AA9624A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3EA7D5F-5D6C-48CA-986A-FAA55AF3407B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557B5CC-106D-4888-A93F-55577FAD2E0B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1CFE5B2-2B89-4955-A989-7FAD8C6C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88358E8-D4D1-419C-AFD5-2E6C84D83886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24B6FE6-99BC-4BB9-81DC-782EE3357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CA55B1F-38BE-41A7-A3E5-8DC1616F90D7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48684</xdr:colOff>
      <xdr:row>41</xdr:row>
      <xdr:rowOff>31749</xdr:rowOff>
    </xdr:from>
    <xdr:to>
      <xdr:col>4</xdr:col>
      <xdr:colOff>2421467</xdr:colOff>
      <xdr:row>44</xdr:row>
      <xdr:rowOff>31749</xdr:rowOff>
    </xdr:to>
    <xdr:sp macro="" textlink="">
      <xdr:nvSpPr>
        <xdr:cNvPr id="31" name="Retângulo: Cantos Arredondados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2D87E26-F005-4133-A7EC-C920120C7760}"/>
            </a:ext>
          </a:extLst>
        </xdr:cNvPr>
        <xdr:cNvSpPr/>
      </xdr:nvSpPr>
      <xdr:spPr>
        <a:xfrm>
          <a:off x="6060017" y="7048499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1949450</xdr:colOff>
      <xdr:row>41</xdr:row>
      <xdr:rowOff>162983</xdr:rowOff>
    </xdr:from>
    <xdr:to>
      <xdr:col>4</xdr:col>
      <xdr:colOff>2297642</xdr:colOff>
      <xdr:row>43</xdr:row>
      <xdr:rowOff>60324</xdr:rowOff>
    </xdr:to>
    <xdr:sp macro="" textlink="">
      <xdr:nvSpPr>
        <xdr:cNvPr id="32" name="Seta: para a Direita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667C59D-EA6F-44DF-9B50-7CFACCAAA21A}"/>
            </a:ext>
          </a:extLst>
        </xdr:cNvPr>
        <xdr:cNvSpPr/>
      </xdr:nvSpPr>
      <xdr:spPr>
        <a:xfrm>
          <a:off x="7960783" y="7179733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21167</xdr:colOff>
      <xdr:row>41</xdr:row>
      <xdr:rowOff>21166</xdr:rowOff>
    </xdr:from>
    <xdr:to>
      <xdr:col>3</xdr:col>
      <xdr:colOff>2393950</xdr:colOff>
      <xdr:row>44</xdr:row>
      <xdr:rowOff>21166</xdr:rowOff>
    </xdr:to>
    <xdr:sp macro="" textlink="">
      <xdr:nvSpPr>
        <xdr:cNvPr id="33" name="Retângulo: Cantos Arredondados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58120E-ECC1-4AB2-9C12-949AE0FECF8B}"/>
            </a:ext>
          </a:extLst>
        </xdr:cNvPr>
        <xdr:cNvSpPr/>
      </xdr:nvSpPr>
      <xdr:spPr>
        <a:xfrm>
          <a:off x="3598334" y="7037916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159808</xdr:colOff>
      <xdr:row>41</xdr:row>
      <xdr:rowOff>154516</xdr:rowOff>
    </xdr:from>
    <xdr:to>
      <xdr:col>3</xdr:col>
      <xdr:colOff>508000</xdr:colOff>
      <xdr:row>43</xdr:row>
      <xdr:rowOff>51857</xdr:rowOff>
    </xdr:to>
    <xdr:sp macro="" textlink="">
      <xdr:nvSpPr>
        <xdr:cNvPr id="34" name="Seta: para a Direita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171730-AA32-4BE7-BB71-DEF211490AD9}"/>
            </a:ext>
          </a:extLst>
        </xdr:cNvPr>
        <xdr:cNvSpPr/>
      </xdr:nvSpPr>
      <xdr:spPr>
        <a:xfrm rot="10800000">
          <a:off x="3736975" y="7171266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794808-F0DC-4EB4-AB16-F3E75C66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EEB1201-F35A-4BC0-98EA-063500C9020F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E8C3A-537B-4A52-8512-AA4E1C19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DD6F34-6649-4A59-B38F-BE3C56A20989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D8C491-1449-4B37-83EB-780F203B4EED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6F0137-CF4C-4B84-B02F-387FB8C6EED7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E333E5-5A51-42D2-8287-DBD00E84A367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D20D15-C9B5-4D8D-9EEB-C6685805A54D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B0C99F7-BAD4-4E34-990C-A87CB748213A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D3A2DF9-2412-48F2-BAF0-734EFEFA4F87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6E2040EF-B587-4697-B83F-8F813620BDB3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43C9F10-5EBC-4938-873D-FA242D90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E9D1221-4E54-415A-A920-6C0557C97330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F7C68FE-86BD-4715-9958-08272FA22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A32FF9FE-098E-4447-BD16-3FF8EC04AD16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48684</xdr:colOff>
      <xdr:row>41</xdr:row>
      <xdr:rowOff>31749</xdr:rowOff>
    </xdr:from>
    <xdr:to>
      <xdr:col>4</xdr:col>
      <xdr:colOff>2421467</xdr:colOff>
      <xdr:row>44</xdr:row>
      <xdr:rowOff>31749</xdr:rowOff>
    </xdr:to>
    <xdr:sp macro="" textlink="">
      <xdr:nvSpPr>
        <xdr:cNvPr id="19" name="Retângulo: Cantos Arredondado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415EE54-0B04-4676-8D1D-9F6FD4651230}"/>
            </a:ext>
          </a:extLst>
        </xdr:cNvPr>
        <xdr:cNvSpPr/>
      </xdr:nvSpPr>
      <xdr:spPr>
        <a:xfrm>
          <a:off x="6060017" y="7048499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1949450</xdr:colOff>
      <xdr:row>41</xdr:row>
      <xdr:rowOff>162983</xdr:rowOff>
    </xdr:from>
    <xdr:to>
      <xdr:col>4</xdr:col>
      <xdr:colOff>2297642</xdr:colOff>
      <xdr:row>43</xdr:row>
      <xdr:rowOff>60324</xdr:rowOff>
    </xdr:to>
    <xdr:sp macro="" textlink="">
      <xdr:nvSpPr>
        <xdr:cNvPr id="20" name="Seta: para a Direita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DCC6009-79A2-4AB6-B9B8-7BF6E5C79531}"/>
            </a:ext>
          </a:extLst>
        </xdr:cNvPr>
        <xdr:cNvSpPr/>
      </xdr:nvSpPr>
      <xdr:spPr>
        <a:xfrm>
          <a:off x="7960783" y="7179733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21167</xdr:colOff>
      <xdr:row>41</xdr:row>
      <xdr:rowOff>21166</xdr:rowOff>
    </xdr:from>
    <xdr:to>
      <xdr:col>3</xdr:col>
      <xdr:colOff>2393950</xdr:colOff>
      <xdr:row>44</xdr:row>
      <xdr:rowOff>21166</xdr:rowOff>
    </xdr:to>
    <xdr:sp macro="" textlink="">
      <xdr:nvSpPr>
        <xdr:cNvPr id="21" name="Retângulo: Canto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CB2ADA9-6E07-4DE7-9699-AEADA4A634C3}"/>
            </a:ext>
          </a:extLst>
        </xdr:cNvPr>
        <xdr:cNvSpPr/>
      </xdr:nvSpPr>
      <xdr:spPr>
        <a:xfrm>
          <a:off x="3598334" y="7037916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159808</xdr:colOff>
      <xdr:row>41</xdr:row>
      <xdr:rowOff>154516</xdr:rowOff>
    </xdr:from>
    <xdr:to>
      <xdr:col>3</xdr:col>
      <xdr:colOff>508000</xdr:colOff>
      <xdr:row>43</xdr:row>
      <xdr:rowOff>51857</xdr:rowOff>
    </xdr:to>
    <xdr:sp macro="" textlink="">
      <xdr:nvSpPr>
        <xdr:cNvPr id="22" name="Seta: para a Direita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E639B59-4F27-474C-B3AB-42EB049BB7E3}"/>
            </a:ext>
          </a:extLst>
        </xdr:cNvPr>
        <xdr:cNvSpPr/>
      </xdr:nvSpPr>
      <xdr:spPr>
        <a:xfrm rot="10800000">
          <a:off x="3736975" y="7171266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C5E2CB-166E-4680-8120-A6EE1C3D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D9D01C-40A7-4D5A-9B94-66DD375E5410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BBE054-4033-4283-83EA-016ED2CF5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F34A2A-2363-4188-8545-64933F04B10B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41DF57-1EF1-43A4-ABFF-8C476EFB26D2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6C2516-57F5-4A3F-873F-FEB477F197D7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DBE9B3-6FA9-44BC-9364-7486BD049AD2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716563-1DD7-4EAE-96DC-1BE70F0CA0FF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BCB808-26E5-44E6-891F-70E69713BD23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A5B727-E367-4AB3-9D12-5DC243898551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83FA4AC-369C-442F-A9E0-54A8230E7358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230DEBA-3707-4079-8256-D8D94B86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DA939287-12FB-4511-9ECC-9604901A070D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56804DA-2BD3-456A-A4B7-C30CB9EA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36C638D1-C2EC-4F1B-8A1E-4A8A031C5E04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48684</xdr:colOff>
      <xdr:row>41</xdr:row>
      <xdr:rowOff>31749</xdr:rowOff>
    </xdr:from>
    <xdr:to>
      <xdr:col>4</xdr:col>
      <xdr:colOff>2421467</xdr:colOff>
      <xdr:row>44</xdr:row>
      <xdr:rowOff>31749</xdr:rowOff>
    </xdr:to>
    <xdr:sp macro="" textlink="">
      <xdr:nvSpPr>
        <xdr:cNvPr id="19" name="Retângulo: Cantos Arredondado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E63890B-5158-405B-A26C-F67BB4D12312}"/>
            </a:ext>
          </a:extLst>
        </xdr:cNvPr>
        <xdr:cNvSpPr/>
      </xdr:nvSpPr>
      <xdr:spPr>
        <a:xfrm>
          <a:off x="6060017" y="7048499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PROXIMO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1949450</xdr:colOff>
      <xdr:row>41</xdr:row>
      <xdr:rowOff>162983</xdr:rowOff>
    </xdr:from>
    <xdr:to>
      <xdr:col>4</xdr:col>
      <xdr:colOff>2297642</xdr:colOff>
      <xdr:row>43</xdr:row>
      <xdr:rowOff>60324</xdr:rowOff>
    </xdr:to>
    <xdr:sp macro="" textlink="">
      <xdr:nvSpPr>
        <xdr:cNvPr id="20" name="Seta: para a Direita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DDEF4EB-0EAA-4E75-A07D-63EBB9117077}"/>
            </a:ext>
          </a:extLst>
        </xdr:cNvPr>
        <xdr:cNvSpPr/>
      </xdr:nvSpPr>
      <xdr:spPr>
        <a:xfrm>
          <a:off x="7960783" y="7179733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21167</xdr:colOff>
      <xdr:row>41</xdr:row>
      <xdr:rowOff>21166</xdr:rowOff>
    </xdr:from>
    <xdr:to>
      <xdr:col>3</xdr:col>
      <xdr:colOff>2393950</xdr:colOff>
      <xdr:row>44</xdr:row>
      <xdr:rowOff>21166</xdr:rowOff>
    </xdr:to>
    <xdr:sp macro="" textlink="">
      <xdr:nvSpPr>
        <xdr:cNvPr id="21" name="Retângulo: Cantos Arredondados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898533B-A4D8-41ED-A1D8-0E2706117C29}"/>
            </a:ext>
          </a:extLst>
        </xdr:cNvPr>
        <xdr:cNvSpPr/>
      </xdr:nvSpPr>
      <xdr:spPr>
        <a:xfrm>
          <a:off x="3598334" y="7037916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159808</xdr:colOff>
      <xdr:row>41</xdr:row>
      <xdr:rowOff>154516</xdr:rowOff>
    </xdr:from>
    <xdr:to>
      <xdr:col>3</xdr:col>
      <xdr:colOff>508000</xdr:colOff>
      <xdr:row>43</xdr:row>
      <xdr:rowOff>51857</xdr:rowOff>
    </xdr:to>
    <xdr:sp macro="" textlink="">
      <xdr:nvSpPr>
        <xdr:cNvPr id="22" name="Seta: para a Direita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EA50D04-4B6C-4429-BCCC-F0634AC3DCF8}"/>
            </a:ext>
          </a:extLst>
        </xdr:cNvPr>
        <xdr:cNvSpPr/>
      </xdr:nvSpPr>
      <xdr:spPr>
        <a:xfrm rot="10800000">
          <a:off x="3736975" y="7171266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74839</xdr:colOff>
      <xdr:row>2</xdr:row>
      <xdr:rowOff>152961</xdr:rowOff>
    </xdr:from>
    <xdr:to>
      <xdr:col>1</xdr:col>
      <xdr:colOff>1409700</xdr:colOff>
      <xdr:row>17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E159D9-7B0D-4F93-8A4A-10FEA2E97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39" y="572061"/>
          <a:ext cx="2820761" cy="241878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0</xdr:rowOff>
    </xdr:from>
    <xdr:to>
      <xdr:col>2</xdr:col>
      <xdr:colOff>0</xdr:colOff>
      <xdr:row>2</xdr:row>
      <xdr:rowOff>31296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993D595-23D1-4DBC-991D-440A7DB1B27F}"/>
            </a:ext>
          </a:extLst>
        </xdr:cNvPr>
        <xdr:cNvSpPr/>
      </xdr:nvSpPr>
      <xdr:spPr>
        <a:xfrm>
          <a:off x="1" y="0"/>
          <a:ext cx="2971799" cy="4503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  <a:ea typeface="MS Mincho" panose="02020609040205080304" pitchFamily="49" charset="-128"/>
            </a:rPr>
            <a:t>LION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1800" b="1" baseline="0">
              <a:ln>
                <a:gradFill>
                  <a:gsLst>
                    <a:gs pos="64750">
                      <a:schemeClr val="tx2">
                        <a:lumMod val="35000"/>
                        <a:lumOff val="65000"/>
                        <a:alpha val="90000"/>
                      </a:schemeClr>
                    </a:gs>
                    <a:gs pos="55500">
                      <a:schemeClr val="accent1">
                        <a:lumMod val="40000"/>
                        <a:lumOff val="60000"/>
                      </a:schemeClr>
                    </a:gs>
                    <a:gs pos="37000">
                      <a:srgbClr val="D6E6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99375">
                    <a:srgbClr val="C4D5E4"/>
                  </a:gs>
                  <a:gs pos="98750">
                    <a:srgbClr val="BAC8D5"/>
                  </a:gs>
                  <a:gs pos="97500">
                    <a:srgbClr val="A5AFB7"/>
                  </a:gs>
                  <a:gs pos="95000">
                    <a:schemeClr val="accent3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RENDIMENTOS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550334</xdr:colOff>
      <xdr:row>41</xdr:row>
      <xdr:rowOff>135793</xdr:rowOff>
    </xdr:from>
    <xdr:to>
      <xdr:col>0</xdr:col>
      <xdr:colOff>1397000</xdr:colOff>
      <xdr:row>43</xdr:row>
      <xdr:rowOff>74083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6D4BE4-E2DD-49AC-B6E7-6BEBA78C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4" y="7241443"/>
          <a:ext cx="846666" cy="28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17</xdr:row>
      <xdr:rowOff>123825</xdr:rowOff>
    </xdr:from>
    <xdr:to>
      <xdr:col>1</xdr:col>
      <xdr:colOff>1449161</xdr:colOff>
      <xdr:row>20</xdr:row>
      <xdr:rowOff>35459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314BFA-0019-4C18-92C3-DE6B8F901450}"/>
            </a:ext>
          </a:extLst>
        </xdr:cNvPr>
        <xdr:cNvSpPr/>
      </xdr:nvSpPr>
      <xdr:spPr>
        <a:xfrm>
          <a:off x="0" y="3114675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0</xdr:col>
      <xdr:colOff>0</xdr:colOff>
      <xdr:row>20</xdr:row>
      <xdr:rowOff>87176</xdr:rowOff>
    </xdr:from>
    <xdr:to>
      <xdr:col>1</xdr:col>
      <xdr:colOff>1449161</xdr:colOff>
      <xdr:row>23</xdr:row>
      <xdr:rowOff>927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0EAC42-68E2-4B27-93F9-5C2E739CCFFD}"/>
            </a:ext>
          </a:extLst>
        </xdr:cNvPr>
        <xdr:cNvSpPr/>
      </xdr:nvSpPr>
      <xdr:spPr>
        <a:xfrm>
          <a:off x="0" y="3592376"/>
          <a:ext cx="2935061" cy="428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RENDIMENTOS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23</xdr:row>
      <xdr:rowOff>50527</xdr:rowOff>
    </xdr:from>
    <xdr:to>
      <xdr:col>1</xdr:col>
      <xdr:colOff>1449161</xdr:colOff>
      <xdr:row>25</xdr:row>
      <xdr:rowOff>133611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03B23E4-A7B9-4FA1-A615-1FAAF8D4AA09}"/>
            </a:ext>
          </a:extLst>
        </xdr:cNvPr>
        <xdr:cNvSpPr/>
      </xdr:nvSpPr>
      <xdr:spPr>
        <a:xfrm>
          <a:off x="0" y="4070077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BANCOS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13878</xdr:rowOff>
    </xdr:from>
    <xdr:to>
      <xdr:col>1</xdr:col>
      <xdr:colOff>1449161</xdr:colOff>
      <xdr:row>28</xdr:row>
      <xdr:rowOff>96962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7CF5FD-D349-4191-AD6F-AA1BD690BB8A}"/>
            </a:ext>
          </a:extLst>
        </xdr:cNvPr>
        <xdr:cNvSpPr/>
      </xdr:nvSpPr>
      <xdr:spPr>
        <a:xfrm>
          <a:off x="0" y="4547778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0</xdr:colOff>
      <xdr:row>28</xdr:row>
      <xdr:rowOff>148679</xdr:rowOff>
    </xdr:from>
    <xdr:to>
      <xdr:col>1</xdr:col>
      <xdr:colOff>1449161</xdr:colOff>
      <xdr:row>31</xdr:row>
      <xdr:rowOff>60313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94E695-7B96-4A70-A509-D6A7F4224F42}"/>
            </a:ext>
          </a:extLst>
        </xdr:cNvPr>
        <xdr:cNvSpPr/>
      </xdr:nvSpPr>
      <xdr:spPr>
        <a:xfrm>
          <a:off x="0" y="5025479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ctr"/>
          <a:endParaRPr lang="pt-BR" sz="1800" b="1">
            <a:solidFill>
              <a:schemeClr val="tx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31</xdr:row>
      <xdr:rowOff>112030</xdr:rowOff>
    </xdr:from>
    <xdr:to>
      <xdr:col>1</xdr:col>
      <xdr:colOff>1449161</xdr:colOff>
      <xdr:row>34</xdr:row>
      <xdr:rowOff>23664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002D05-907A-4422-971C-A67307657A93}"/>
            </a:ext>
          </a:extLst>
        </xdr:cNvPr>
        <xdr:cNvSpPr/>
      </xdr:nvSpPr>
      <xdr:spPr>
        <a:xfrm>
          <a:off x="0" y="5503180"/>
          <a:ext cx="2935061" cy="4259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34</xdr:row>
      <xdr:rowOff>75381</xdr:rowOff>
    </xdr:from>
    <xdr:to>
      <xdr:col>1</xdr:col>
      <xdr:colOff>1449161</xdr:colOff>
      <xdr:row>36</xdr:row>
      <xdr:rowOff>158465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008E3D2-796B-4BA4-B510-B2D2343F689A}"/>
            </a:ext>
          </a:extLst>
        </xdr:cNvPr>
        <xdr:cNvSpPr/>
      </xdr:nvSpPr>
      <xdr:spPr>
        <a:xfrm>
          <a:off x="0" y="5980881"/>
          <a:ext cx="2935061" cy="425984"/>
        </a:xfrm>
        <a:prstGeom prst="roundRect">
          <a:avLst>
            <a:gd name="adj" fmla="val 50000"/>
          </a:avLst>
        </a:prstGeom>
        <a:solidFill>
          <a:srgbClr val="ECE8E3"/>
        </a:solidFill>
        <a:ln/>
      </xdr:spPr>
      <xdr:style>
        <a:lnRef idx="2">
          <a:schemeClr val="dk1">
            <a:shade val="15000"/>
          </a:schemeClr>
        </a:lnRef>
        <a:fillRef idx="1003">
          <a:schemeClr val="lt2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157163</xdr:colOff>
      <xdr:row>41</xdr:row>
      <xdr:rowOff>38656</xdr:rowOff>
    </xdr:from>
    <xdr:to>
      <xdr:col>1</xdr:col>
      <xdr:colOff>1291999</xdr:colOff>
      <xdr:row>41</xdr:row>
      <xdr:rowOff>38656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99AF1F6-630C-4A2E-8418-AE3CFD67EFA2}"/>
            </a:ext>
          </a:extLst>
        </xdr:cNvPr>
        <xdr:cNvCxnSpPr/>
      </xdr:nvCxnSpPr>
      <xdr:spPr>
        <a:xfrm>
          <a:off x="157163" y="7144306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784577</xdr:colOff>
      <xdr:row>41</xdr:row>
      <xdr:rowOff>105834</xdr:rowOff>
    </xdr:from>
    <xdr:to>
      <xdr:col>1</xdr:col>
      <xdr:colOff>1124917</xdr:colOff>
      <xdr:row>43</xdr:row>
      <xdr:rowOff>94767</xdr:rowOff>
    </xdr:to>
    <xdr:pic>
      <xdr:nvPicPr>
        <xdr:cNvPr id="15" name="Imagem 14" descr="DIO Funcionários, localidade, ex-alunos | LinkedIn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498226F-9E4A-4A4C-A259-5AD5A109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477" y="7211484"/>
          <a:ext cx="340340" cy="33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497417</xdr:colOff>
      <xdr:row>39</xdr:row>
      <xdr:rowOff>150501</xdr:rowOff>
    </xdr:from>
    <xdr:to>
      <xdr:col>1</xdr:col>
      <xdr:colOff>1206500</xdr:colOff>
      <xdr:row>41</xdr:row>
      <xdr:rowOff>97584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4D85D825-13E8-410C-A96C-103624B51B1C}"/>
            </a:ext>
          </a:extLst>
        </xdr:cNvPr>
        <xdr:cNvSpPr/>
      </xdr:nvSpPr>
      <xdr:spPr>
        <a:xfrm>
          <a:off x="497417" y="6913251"/>
          <a:ext cx="2194983" cy="2899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solidFill>
                <a:schemeClr val="tx1"/>
              </a:solidFill>
            </a:rPr>
            <a:t>Desenvolvido por Jesse Alves ®</a:t>
          </a:r>
        </a:p>
      </xdr:txBody>
    </xdr:sp>
    <xdr:clientData/>
  </xdr:twoCellAnchor>
  <xdr:twoCellAnchor editAs="absolute">
    <xdr:from>
      <xdr:col>1</xdr:col>
      <xdr:colOff>167000</xdr:colOff>
      <xdr:row>41</xdr:row>
      <xdr:rowOff>97586</xdr:rowOff>
    </xdr:from>
    <xdr:to>
      <xdr:col>1</xdr:col>
      <xdr:colOff>635000</xdr:colOff>
      <xdr:row>43</xdr:row>
      <xdr:rowOff>84667</xdr:rowOff>
    </xdr:to>
    <xdr:pic>
      <xdr:nvPicPr>
        <xdr:cNvPr id="17" name="Imagem 16" descr="Logotipo do github - ícones de mídia social gráti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2289028-FCF8-4B10-9CEC-6557A66BA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900" y="7203236"/>
          <a:ext cx="468000" cy="32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193147</xdr:colOff>
      <xdr:row>43</xdr:row>
      <xdr:rowOff>148723</xdr:rowOff>
    </xdr:from>
    <xdr:to>
      <xdr:col>1</xdr:col>
      <xdr:colOff>1327983</xdr:colOff>
      <xdr:row>43</xdr:row>
      <xdr:rowOff>148723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9372AF8-195F-4653-8776-8133F36C7CD8}"/>
            </a:ext>
          </a:extLst>
        </xdr:cNvPr>
        <xdr:cNvCxnSpPr/>
      </xdr:nvCxnSpPr>
      <xdr:spPr>
        <a:xfrm>
          <a:off x="193147" y="7597273"/>
          <a:ext cx="2620736" cy="0"/>
        </a:xfrm>
        <a:prstGeom prst="line">
          <a:avLst/>
        </a:prstGeom>
        <a:ln cmpd="sng">
          <a:solidFill>
            <a:schemeClr val="tx1">
              <a:lumMod val="95000"/>
              <a:lumOff val="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21167</xdr:colOff>
      <xdr:row>41</xdr:row>
      <xdr:rowOff>21166</xdr:rowOff>
    </xdr:from>
    <xdr:to>
      <xdr:col>3</xdr:col>
      <xdr:colOff>2393950</xdr:colOff>
      <xdr:row>44</xdr:row>
      <xdr:rowOff>21166</xdr:rowOff>
    </xdr:to>
    <xdr:sp macro="" textlink="">
      <xdr:nvSpPr>
        <xdr:cNvPr id="19" name="Retângulo: Cantos Arredondado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FB0C64-154A-4D2F-BB86-27EDBD41B907}"/>
            </a:ext>
          </a:extLst>
        </xdr:cNvPr>
        <xdr:cNvSpPr/>
      </xdr:nvSpPr>
      <xdr:spPr>
        <a:xfrm>
          <a:off x="3598334" y="7037916"/>
          <a:ext cx="2372783" cy="508000"/>
        </a:xfrm>
        <a:prstGeom prst="roundRect">
          <a:avLst/>
        </a:prstGeom>
        <a:solidFill>
          <a:srgbClr val="F24A2E"/>
        </a:solidFill>
      </xdr:spPr>
      <xdr:style>
        <a:lnRef idx="2">
          <a:schemeClr val="accent2">
            <a:shade val="15000"/>
          </a:schemeClr>
        </a:lnRef>
        <a:fillRef idx="1001">
          <a:schemeClr val="lt1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159808</xdr:colOff>
      <xdr:row>41</xdr:row>
      <xdr:rowOff>154516</xdr:rowOff>
    </xdr:from>
    <xdr:to>
      <xdr:col>3</xdr:col>
      <xdr:colOff>508000</xdr:colOff>
      <xdr:row>43</xdr:row>
      <xdr:rowOff>51857</xdr:rowOff>
    </xdr:to>
    <xdr:sp macro="" textlink="">
      <xdr:nvSpPr>
        <xdr:cNvPr id="20" name="Seta: para a Direita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91AEDE0-F4E9-4C53-A0FB-9EA27FBFCA4B}"/>
            </a:ext>
          </a:extLst>
        </xdr:cNvPr>
        <xdr:cNvSpPr/>
      </xdr:nvSpPr>
      <xdr:spPr>
        <a:xfrm rot="10800000">
          <a:off x="3736975" y="7171266"/>
          <a:ext cx="348192" cy="236008"/>
        </a:xfrm>
        <a:prstGeom prst="rightArrow">
          <a:avLst/>
        </a:prstGeom>
        <a:solidFill>
          <a:srgbClr val="FBD9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10420B-8E7B-4174-9D7B-3C1AFE9D7E74}" name="Tabela7" displayName="Tabela7" ref="D5:F39" totalsRowShown="0" headerRowDxfId="4" dataDxfId="3">
  <tableColumns count="3">
    <tableColumn id="1" xr3:uid="{EB61D2C8-3359-4989-BAA0-900966B3DD8A}" name="DATA" dataDxfId="2"/>
    <tableColumn id="2" xr3:uid="{4B6679B1-B818-4D4B-ABE2-AC0655B2A713}" name="CATEGORIA" dataDxfId="1"/>
    <tableColumn id="3" xr3:uid="{A587CBE6-9822-4640-8A6D-0AFE6C10E141}" name="VALOR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esse@dio.me?subject=Ola!%20precisamos%20falar%20sobre%20a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Documentos" TargetMode="External"/><Relationship Id="rId2" Type="http://schemas.openxmlformats.org/officeDocument/2006/relationships/hyperlink" Target="Documentos" TargetMode="External"/><Relationship Id="rId1" Type="http://schemas.openxmlformats.org/officeDocument/2006/relationships/hyperlink" Target="Documentos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Documento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50"/>
  <sheetViews>
    <sheetView showGridLines="0" showRowColHeaders="0" tabSelected="1" zoomScale="90" zoomScaleNormal="90" workbookViewId="0">
      <selection activeCell="E3" sqref="E3"/>
    </sheetView>
  </sheetViews>
  <sheetFormatPr defaultRowHeight="15" x14ac:dyDescent="0.25"/>
  <cols>
    <col min="1" max="2" width="22.28515625" customWidth="1"/>
    <col min="4" max="4" width="45" customWidth="1"/>
    <col min="5" max="5" width="27.5703125" style="6" customWidth="1"/>
  </cols>
  <sheetData>
    <row r="1" spans="1:5" ht="19.5" customHeight="1" thickBot="1" x14ac:dyDescent="0.35">
      <c r="A1" s="47" t="s">
        <v>0</v>
      </c>
      <c r="B1" s="46"/>
      <c r="D1" s="1" t="s">
        <v>96</v>
      </c>
      <c r="E1" s="5"/>
    </row>
    <row r="2" spans="1:5" ht="14.1" customHeight="1" thickTop="1" x14ac:dyDescent="0.25">
      <c r="A2" s="47"/>
      <c r="B2" s="46"/>
      <c r="D2" s="45" t="s">
        <v>6</v>
      </c>
      <c r="E2" s="45"/>
    </row>
    <row r="3" spans="1:5" ht="14.1" customHeight="1" x14ac:dyDescent="0.3">
      <c r="A3" s="47"/>
      <c r="B3" s="46"/>
      <c r="D3" s="2" t="s">
        <v>3</v>
      </c>
      <c r="E3" s="23" t="s">
        <v>159</v>
      </c>
    </row>
    <row r="4" spans="1:5" ht="14.1" customHeight="1" x14ac:dyDescent="0.3">
      <c r="A4" s="47"/>
      <c r="B4" s="46"/>
      <c r="D4" s="2" t="s">
        <v>1</v>
      </c>
      <c r="E4" s="24">
        <v>11122233</v>
      </c>
    </row>
    <row r="5" spans="1:5" ht="14.1" customHeight="1" x14ac:dyDescent="0.3">
      <c r="A5" s="47"/>
      <c r="B5" s="46"/>
      <c r="D5" s="2" t="s">
        <v>18</v>
      </c>
      <c r="E5" s="25">
        <v>19031985</v>
      </c>
    </row>
    <row r="6" spans="1:5" ht="14.1" customHeight="1" x14ac:dyDescent="0.3">
      <c r="A6" s="47"/>
      <c r="B6" s="46"/>
      <c r="D6" s="2" t="s">
        <v>4</v>
      </c>
      <c r="E6" s="26">
        <v>111111111</v>
      </c>
    </row>
    <row r="7" spans="1:5" ht="14.1" customHeight="1" x14ac:dyDescent="0.3">
      <c r="A7" s="47"/>
      <c r="B7" s="46"/>
      <c r="D7" s="2" t="s">
        <v>14</v>
      </c>
      <c r="E7" s="27" t="s">
        <v>42</v>
      </c>
    </row>
    <row r="8" spans="1:5" ht="14.1" customHeight="1" x14ac:dyDescent="0.3">
      <c r="A8" s="47"/>
      <c r="B8" s="46"/>
      <c r="D8" s="2" t="s">
        <v>15</v>
      </c>
      <c r="E8" s="23" t="s">
        <v>43</v>
      </c>
    </row>
    <row r="9" spans="1:5" ht="14.1" customHeight="1" x14ac:dyDescent="0.3">
      <c r="A9" s="47"/>
      <c r="B9" s="46"/>
      <c r="D9" s="2" t="s">
        <v>16</v>
      </c>
      <c r="E9" s="23" t="s">
        <v>160</v>
      </c>
    </row>
    <row r="10" spans="1:5" ht="14.1" customHeight="1" x14ac:dyDescent="0.3">
      <c r="A10" s="47"/>
      <c r="B10" s="46"/>
      <c r="D10" s="2" t="s">
        <v>17</v>
      </c>
      <c r="E10" s="23" t="s">
        <v>44</v>
      </c>
    </row>
    <row r="11" spans="1:5" ht="14.1" customHeight="1" x14ac:dyDescent="0.3">
      <c r="A11" s="47"/>
      <c r="B11" s="46"/>
      <c r="D11" s="43" t="s">
        <v>5</v>
      </c>
      <c r="E11" s="43"/>
    </row>
    <row r="12" spans="1:5" ht="14.1" customHeight="1" x14ac:dyDescent="0.3">
      <c r="A12" s="47"/>
      <c r="B12" s="46"/>
      <c r="D12" s="2" t="s">
        <v>3</v>
      </c>
      <c r="E12" s="23" t="s">
        <v>161</v>
      </c>
    </row>
    <row r="13" spans="1:5" ht="14.1" customHeight="1" x14ac:dyDescent="0.3">
      <c r="A13" s="47"/>
      <c r="B13" s="46"/>
      <c r="D13" s="2" t="s">
        <v>1</v>
      </c>
      <c r="E13" s="28">
        <v>32271987890</v>
      </c>
    </row>
    <row r="14" spans="1:5" ht="14.1" customHeight="1" x14ac:dyDescent="0.3">
      <c r="A14" s="47"/>
      <c r="B14" s="46"/>
      <c r="D14" s="2" t="s">
        <v>18</v>
      </c>
      <c r="E14" s="25">
        <v>16071989</v>
      </c>
    </row>
    <row r="15" spans="1:5" ht="14.1" customHeight="1" x14ac:dyDescent="0.3">
      <c r="A15" s="47"/>
      <c r="B15" s="46"/>
      <c r="D15" s="2" t="s">
        <v>19</v>
      </c>
      <c r="E15" s="23" t="s">
        <v>35</v>
      </c>
    </row>
    <row r="16" spans="1:5" ht="14.1" customHeight="1" x14ac:dyDescent="0.3">
      <c r="A16" s="47"/>
      <c r="B16" s="46"/>
      <c r="D16" s="43" t="s">
        <v>7</v>
      </c>
      <c r="E16" s="43"/>
    </row>
    <row r="17" spans="1:5" ht="14.1" customHeight="1" x14ac:dyDescent="0.3">
      <c r="A17" s="47"/>
      <c r="B17" s="46"/>
      <c r="D17" s="2" t="s">
        <v>7</v>
      </c>
      <c r="E17" s="23" t="s">
        <v>37</v>
      </c>
    </row>
    <row r="18" spans="1:5" ht="14.1" customHeight="1" x14ac:dyDescent="0.3">
      <c r="A18" s="47"/>
      <c r="B18" s="46"/>
      <c r="D18" s="2" t="s">
        <v>20</v>
      </c>
      <c r="E18" s="23">
        <v>1</v>
      </c>
    </row>
    <row r="19" spans="1:5" ht="14.1" customHeight="1" x14ac:dyDescent="0.3">
      <c r="A19" s="47"/>
      <c r="B19" s="46"/>
      <c r="D19" s="2" t="s">
        <v>21</v>
      </c>
      <c r="E19" s="23" t="s">
        <v>38</v>
      </c>
    </row>
    <row r="20" spans="1:5" ht="14.1" customHeight="1" x14ac:dyDescent="0.3">
      <c r="A20" s="47"/>
      <c r="B20" s="46"/>
      <c r="D20" s="2" t="s">
        <v>22</v>
      </c>
      <c r="E20" s="23" t="s">
        <v>39</v>
      </c>
    </row>
    <row r="21" spans="1:5" ht="14.1" customHeight="1" x14ac:dyDescent="0.3">
      <c r="A21" s="47"/>
      <c r="B21" s="46"/>
      <c r="D21" s="2" t="s">
        <v>23</v>
      </c>
      <c r="E21" s="23" t="s">
        <v>40</v>
      </c>
    </row>
    <row r="22" spans="1:5" ht="14.1" customHeight="1" x14ac:dyDescent="0.3">
      <c r="A22" s="47"/>
      <c r="B22" s="46"/>
      <c r="D22" s="2" t="s">
        <v>24</v>
      </c>
      <c r="E22" s="23" t="s">
        <v>41</v>
      </c>
    </row>
    <row r="23" spans="1:5" ht="14.1" customHeight="1" x14ac:dyDescent="0.3">
      <c r="A23" s="47"/>
      <c r="B23" s="46"/>
      <c r="D23" s="2" t="s">
        <v>2</v>
      </c>
      <c r="E23" s="28">
        <v>4848448</v>
      </c>
    </row>
    <row r="24" spans="1:5" ht="14.1" customHeight="1" x14ac:dyDescent="0.3">
      <c r="A24" s="47"/>
      <c r="B24" s="46"/>
      <c r="D24" s="43" t="s">
        <v>8</v>
      </c>
      <c r="E24" s="43"/>
    </row>
    <row r="25" spans="1:5" ht="14.1" customHeight="1" x14ac:dyDescent="0.3">
      <c r="A25" s="47"/>
      <c r="B25" s="46"/>
      <c r="D25" s="2" t="s">
        <v>9</v>
      </c>
      <c r="E25" s="29">
        <v>11955558888</v>
      </c>
    </row>
    <row r="26" spans="1:5" ht="14.1" customHeight="1" x14ac:dyDescent="0.3">
      <c r="A26" s="47"/>
      <c r="B26" s="46"/>
      <c r="D26" s="2" t="s">
        <v>10</v>
      </c>
      <c r="E26" s="29">
        <v>11955558888</v>
      </c>
    </row>
    <row r="27" spans="1:5" ht="14.1" customHeight="1" x14ac:dyDescent="0.3">
      <c r="A27" s="47"/>
      <c r="B27" s="46"/>
      <c r="D27" s="2" t="s">
        <v>25</v>
      </c>
      <c r="E27" s="30" t="s">
        <v>36</v>
      </c>
    </row>
    <row r="28" spans="1:5" ht="14.1" customHeight="1" x14ac:dyDescent="0.3">
      <c r="A28" s="47"/>
      <c r="B28" s="46"/>
      <c r="D28" s="43" t="s">
        <v>11</v>
      </c>
      <c r="E28" s="43"/>
    </row>
    <row r="29" spans="1:5" ht="14.1" customHeight="1" x14ac:dyDescent="0.3">
      <c r="A29" s="47"/>
      <c r="B29" s="46"/>
      <c r="D29" s="2" t="s">
        <v>12</v>
      </c>
      <c r="E29" s="23" t="s">
        <v>35</v>
      </c>
    </row>
    <row r="30" spans="1:5" ht="14.1" customHeight="1" x14ac:dyDescent="0.3">
      <c r="A30" s="47"/>
      <c r="B30" s="46"/>
      <c r="D30" s="2" t="s">
        <v>26</v>
      </c>
      <c r="E30" s="23" t="s">
        <v>35</v>
      </c>
    </row>
    <row r="31" spans="1:5" ht="14.1" customHeight="1" x14ac:dyDescent="0.3">
      <c r="A31" s="47"/>
      <c r="B31" s="46"/>
      <c r="D31" s="2" t="s">
        <v>13</v>
      </c>
      <c r="E31" s="23" t="s">
        <v>35</v>
      </c>
    </row>
    <row r="32" spans="1:5" ht="14.1" customHeight="1" x14ac:dyDescent="0.3">
      <c r="A32" s="47"/>
      <c r="B32" s="46"/>
      <c r="D32" s="2" t="s">
        <v>27</v>
      </c>
      <c r="E32" s="23" t="s">
        <v>35</v>
      </c>
    </row>
    <row r="33" spans="1:5" ht="14.1" customHeight="1" x14ac:dyDescent="0.3">
      <c r="A33" s="47"/>
      <c r="B33" s="46"/>
      <c r="D33" s="2" t="s">
        <v>28</v>
      </c>
      <c r="E33" s="23" t="s">
        <v>35</v>
      </c>
    </row>
    <row r="34" spans="1:5" ht="14.1" customHeight="1" x14ac:dyDescent="0.3">
      <c r="A34" s="47"/>
      <c r="B34" s="46"/>
      <c r="D34" s="2" t="s">
        <v>29</v>
      </c>
      <c r="E34" s="23" t="s">
        <v>35</v>
      </c>
    </row>
    <row r="35" spans="1:5" ht="14.1" customHeight="1" x14ac:dyDescent="0.3">
      <c r="A35" s="47"/>
      <c r="B35" s="46"/>
      <c r="D35" s="44" t="s">
        <v>34</v>
      </c>
      <c r="E35" s="44"/>
    </row>
    <row r="36" spans="1:5" ht="14.1" customHeight="1" x14ac:dyDescent="0.3">
      <c r="A36" s="47"/>
      <c r="B36" s="46"/>
      <c r="D36" s="2" t="s">
        <v>30</v>
      </c>
      <c r="E36" s="23" t="s">
        <v>59</v>
      </c>
    </row>
    <row r="37" spans="1:5" ht="14.1" customHeight="1" x14ac:dyDescent="0.3">
      <c r="A37" s="47"/>
      <c r="B37" s="46"/>
      <c r="D37" s="2" t="s">
        <v>31</v>
      </c>
      <c r="E37" s="31">
        <v>267</v>
      </c>
    </row>
    <row r="38" spans="1:5" ht="14.1" customHeight="1" x14ac:dyDescent="0.3">
      <c r="A38" s="47"/>
      <c r="B38" s="46"/>
      <c r="D38" s="2" t="s">
        <v>32</v>
      </c>
      <c r="E38" s="32">
        <v>12348</v>
      </c>
    </row>
    <row r="39" spans="1:5" ht="14.1" customHeight="1" x14ac:dyDescent="0.3">
      <c r="A39" s="47"/>
      <c r="B39" s="46"/>
      <c r="D39" s="2" t="s">
        <v>163</v>
      </c>
      <c r="E39" s="23">
        <v>5</v>
      </c>
    </row>
    <row r="40" spans="1:5" ht="14.1" customHeight="1" x14ac:dyDescent="0.3">
      <c r="A40" s="47"/>
      <c r="B40" s="46"/>
      <c r="D40" s="2" t="s">
        <v>33</v>
      </c>
      <c r="E40" s="23" t="s">
        <v>162</v>
      </c>
    </row>
    <row r="41" spans="1:5" ht="14.1" customHeight="1" x14ac:dyDescent="0.25">
      <c r="A41" s="47"/>
      <c r="B41" s="46"/>
    </row>
    <row r="42" spans="1:5" ht="14.1" customHeight="1" x14ac:dyDescent="0.25">
      <c r="A42" s="47"/>
      <c r="B42" s="46"/>
    </row>
    <row r="43" spans="1:5" ht="14.1" customHeight="1" x14ac:dyDescent="0.25">
      <c r="A43" s="47"/>
      <c r="B43" s="46"/>
    </row>
    <row r="44" spans="1:5" ht="14.1" customHeight="1" x14ac:dyDescent="0.25">
      <c r="A44" s="47"/>
      <c r="B44" s="46"/>
    </row>
    <row r="45" spans="1:5" ht="14.1" customHeight="1" x14ac:dyDescent="0.25">
      <c r="A45" s="47"/>
      <c r="B45" s="46"/>
    </row>
    <row r="46" spans="1:5" ht="14.1" customHeight="1" x14ac:dyDescent="0.25">
      <c r="A46" s="47"/>
      <c r="B46" s="46"/>
    </row>
    <row r="47" spans="1:5" ht="14.1" customHeight="1" x14ac:dyDescent="0.25">
      <c r="A47" s="47"/>
      <c r="B47" s="46"/>
    </row>
    <row r="48" spans="1:5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8">
    <mergeCell ref="B1:B50"/>
    <mergeCell ref="A1:A50"/>
    <mergeCell ref="D24:E24"/>
    <mergeCell ref="D28:E28"/>
    <mergeCell ref="D35:E35"/>
    <mergeCell ref="D2:E2"/>
    <mergeCell ref="D11:E11"/>
    <mergeCell ref="D16:E16"/>
  </mergeCells>
  <dataValidations xWindow="820" yWindow="826" count="4">
    <dataValidation type="list" allowBlank="1" showInputMessage="1" showErrorMessage="1" sqref="E29:E34 E15" xr:uid="{F7D11EC5-4737-46F5-891D-778E21532EAF}">
      <formula1>"SIM,NÃO"</formula1>
    </dataValidation>
    <dataValidation type="list" allowBlank="1" showInputMessage="1" showErrorMessage="1" promptTitle="UF" prompt="Escolha sua Unidade Federativa._x000a_" sqref="E22" xr:uid="{90DF905C-4F4C-40EB-8A63-427CC4B26E6B}">
      <formula1>"AC,AL,AM,AP,BA,CE,DF,ES,GO,MA,MG,MS,MT,PA,PB,PE,PI,PR,RJ,RN,RO,RR,RS,SC,SE,SP,TO"</formula1>
    </dataValidation>
    <dataValidation type="list" allowBlank="1" showInputMessage="1" showErrorMessage="1" sqref="E8" xr:uid="{09641FEA-800A-4266-BC16-D3ACB13EF3D9}">
      <formula1>"SSP, SSP/SP, SSP/BA, SSP/AM, SSP/PR, SSP/TO, PC, PC/DF, PC/MG, PC/PA, PC/GO, IIRGD, IIRHM, IITB, ITEP, IGP, POLITEC, SEJUSP, SESP, DETRAN/RJ"</formula1>
    </dataValidation>
    <dataValidation type="list" allowBlank="1" showInputMessage="1" showErrorMessage="1" sqref="E10" xr:uid="{EB720F73-3354-4113-B850-10F4B9C798DB}">
      <formula1>"Solteiro(a), Casado(a), Divorciado(a), Separado(a) judicialmente, Viúvo(a), União estável"</formula1>
    </dataValidation>
  </dataValidations>
  <hyperlinks>
    <hyperlink ref="E27" r:id="rId1" xr:uid="{CEB6125D-01FD-4F8D-85C5-A6AF6AF293D8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xWindow="820" yWindow="826" count="1">
        <x14:dataValidation type="list" errorStyle="warning" allowBlank="1" showInputMessage="1" showErrorMessage="1" errorTitle="Banco não encontrado" error="Informa um banco da lista." promptTitle="Informe um banco" prompt="Informe um banco vinculado ao seu CPF." xr:uid="{66148247-3097-4F03-B581-F91821AD4C82}">
          <x14:formula1>
            <xm:f>TABELAS!$A$2:$A$51</xm:f>
          </x14:formula1>
          <xm:sqref>E36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A073-11D6-4B26-9EAD-EF00BC9395BA}">
  <sheetPr codeName="Planilha2"/>
  <dimension ref="A1:E50"/>
  <sheetViews>
    <sheetView showGridLines="0" showRowColHeaders="0" zoomScale="90" zoomScaleNormal="90" workbookViewId="0">
      <selection activeCell="E20" sqref="E20"/>
    </sheetView>
  </sheetViews>
  <sheetFormatPr defaultRowHeight="15" x14ac:dyDescent="0.25"/>
  <cols>
    <col min="1" max="2" width="22.28515625" customWidth="1"/>
    <col min="4" max="4" width="46.140625" bestFit="1" customWidth="1"/>
    <col min="5" max="5" width="26.7109375" customWidth="1"/>
  </cols>
  <sheetData>
    <row r="1" spans="1:5" ht="19.5" customHeight="1" thickBot="1" x14ac:dyDescent="0.35">
      <c r="A1" s="47" t="s">
        <v>0</v>
      </c>
      <c r="B1" s="46"/>
      <c r="D1" s="1" t="s">
        <v>136</v>
      </c>
      <c r="E1" s="5"/>
    </row>
    <row r="2" spans="1:5" ht="14.1" customHeight="1" thickTop="1" x14ac:dyDescent="0.25">
      <c r="A2" s="47"/>
      <c r="B2" s="46"/>
      <c r="D2" s="45" t="s">
        <v>188</v>
      </c>
      <c r="E2" s="45"/>
    </row>
    <row r="3" spans="1:5" ht="14.1" customHeight="1" x14ac:dyDescent="0.3">
      <c r="A3" s="47"/>
      <c r="B3" s="46"/>
      <c r="D3" s="2" t="s">
        <v>98</v>
      </c>
      <c r="E3" s="23" t="s">
        <v>164</v>
      </c>
    </row>
    <row r="4" spans="1:5" ht="14.1" customHeight="1" x14ac:dyDescent="0.3">
      <c r="A4" s="47"/>
      <c r="B4" s="46"/>
      <c r="D4" s="2" t="s">
        <v>99</v>
      </c>
      <c r="E4" s="33">
        <v>12345678000195</v>
      </c>
    </row>
    <row r="5" spans="1:5" ht="14.1" customHeight="1" x14ac:dyDescent="0.3">
      <c r="A5" s="47"/>
      <c r="B5" s="46"/>
      <c r="D5" s="2" t="s">
        <v>100</v>
      </c>
      <c r="E5" s="25" t="s">
        <v>165</v>
      </c>
    </row>
    <row r="6" spans="1:5" ht="14.1" customHeight="1" x14ac:dyDescent="0.3">
      <c r="A6" s="47"/>
      <c r="B6" s="46"/>
      <c r="D6" s="2" t="s">
        <v>101</v>
      </c>
      <c r="E6" s="34">
        <v>5000</v>
      </c>
    </row>
    <row r="7" spans="1:5" ht="14.1" customHeight="1" x14ac:dyDescent="0.3">
      <c r="A7" s="47"/>
      <c r="B7" s="46"/>
      <c r="D7" s="2" t="s">
        <v>102</v>
      </c>
      <c r="E7" s="34">
        <v>700</v>
      </c>
    </row>
    <row r="8" spans="1:5" ht="14.1" customHeight="1" x14ac:dyDescent="0.3">
      <c r="A8" s="47"/>
      <c r="B8" s="46"/>
      <c r="D8" s="2" t="s">
        <v>103</v>
      </c>
      <c r="E8" s="34">
        <v>4340</v>
      </c>
    </row>
    <row r="9" spans="1:5" ht="14.1" customHeight="1" x14ac:dyDescent="0.3">
      <c r="A9" s="47"/>
      <c r="B9" s="46"/>
      <c r="D9" s="2" t="s">
        <v>104</v>
      </c>
      <c r="E9" s="34">
        <v>535</v>
      </c>
    </row>
    <row r="10" spans="1:5" ht="14.1" customHeight="1" x14ac:dyDescent="0.3">
      <c r="A10" s="47"/>
      <c r="B10" s="46"/>
      <c r="D10" s="43" t="s">
        <v>105</v>
      </c>
      <c r="E10" s="43"/>
    </row>
    <row r="11" spans="1:5" ht="14.1" customHeight="1" x14ac:dyDescent="0.3">
      <c r="A11" s="47"/>
      <c r="B11" s="46"/>
      <c r="D11" s="2" t="s">
        <v>106</v>
      </c>
      <c r="E11" s="23" t="s">
        <v>179</v>
      </c>
    </row>
    <row r="12" spans="1:5" ht="14.1" customHeight="1" x14ac:dyDescent="0.3">
      <c r="A12" s="47"/>
      <c r="B12" s="46"/>
      <c r="D12" s="2" t="s">
        <v>107</v>
      </c>
      <c r="E12" s="28" t="s">
        <v>180</v>
      </c>
    </row>
    <row r="13" spans="1:5" ht="14.1" customHeight="1" x14ac:dyDescent="0.3">
      <c r="A13" s="47"/>
      <c r="B13" s="46"/>
      <c r="D13" s="2" t="s">
        <v>181</v>
      </c>
      <c r="E13" s="34">
        <v>10000</v>
      </c>
    </row>
    <row r="14" spans="1:5" ht="14.1" customHeight="1" x14ac:dyDescent="0.3">
      <c r="A14" s="47"/>
      <c r="B14" s="46"/>
      <c r="D14" s="2" t="s">
        <v>182</v>
      </c>
      <c r="E14" s="34">
        <v>800</v>
      </c>
    </row>
    <row r="15" spans="1:5" ht="14.1" customHeight="1" x14ac:dyDescent="0.3">
      <c r="A15" s="47"/>
      <c r="B15" s="46"/>
      <c r="D15" s="4" t="s">
        <v>109</v>
      </c>
      <c r="E15" s="4"/>
    </row>
    <row r="16" spans="1:5" ht="14.1" customHeight="1" x14ac:dyDescent="0.3">
      <c r="A16" s="47"/>
      <c r="B16" s="46"/>
      <c r="D16" s="2" t="s">
        <v>183</v>
      </c>
      <c r="E16" s="23" t="s">
        <v>184</v>
      </c>
    </row>
    <row r="17" spans="1:5" ht="14.1" customHeight="1" x14ac:dyDescent="0.3">
      <c r="A17" s="47"/>
      <c r="B17" s="46"/>
      <c r="D17" s="2" t="s">
        <v>111</v>
      </c>
      <c r="E17" s="28" t="s">
        <v>187</v>
      </c>
    </row>
    <row r="18" spans="1:5" ht="14.1" customHeight="1" x14ac:dyDescent="0.3">
      <c r="A18" s="47"/>
      <c r="B18" s="46"/>
      <c r="D18" s="2" t="s">
        <v>108</v>
      </c>
      <c r="E18" s="34">
        <v>745</v>
      </c>
    </row>
    <row r="19" spans="1:5" ht="14.1" customHeight="1" x14ac:dyDescent="0.3">
      <c r="A19" s="47"/>
      <c r="B19" s="46"/>
      <c r="D19" s="4" t="s">
        <v>97</v>
      </c>
      <c r="E19" s="4"/>
    </row>
    <row r="20" spans="1:5" ht="14.1" customHeight="1" x14ac:dyDescent="0.3">
      <c r="A20" s="47"/>
      <c r="B20" s="46"/>
      <c r="D20" s="2" t="s">
        <v>183</v>
      </c>
      <c r="E20" s="23" t="s">
        <v>185</v>
      </c>
    </row>
    <row r="21" spans="1:5" ht="14.1" customHeight="1" x14ac:dyDescent="0.3">
      <c r="A21" s="47"/>
      <c r="B21" s="46"/>
      <c r="D21" s="2" t="s">
        <v>111</v>
      </c>
      <c r="E21" s="28" t="s">
        <v>186</v>
      </c>
    </row>
    <row r="22" spans="1:5" ht="14.1" customHeight="1" x14ac:dyDescent="0.3">
      <c r="A22" s="47"/>
      <c r="B22" s="46"/>
      <c r="D22" s="2" t="s">
        <v>108</v>
      </c>
      <c r="E22" s="34">
        <v>1500</v>
      </c>
    </row>
    <row r="23" spans="1:5" ht="14.1" customHeight="1" x14ac:dyDescent="0.3">
      <c r="A23" s="47"/>
      <c r="B23" s="46"/>
      <c r="D23" s="43" t="s">
        <v>112</v>
      </c>
      <c r="E23" s="43"/>
    </row>
    <row r="24" spans="1:5" ht="14.1" customHeight="1" x14ac:dyDescent="0.3">
      <c r="A24" s="47"/>
      <c r="B24" s="46"/>
      <c r="E24" s="8">
        <f>SUM(E6,E8,E14,E18,E22)</f>
        <v>12385</v>
      </c>
    </row>
    <row r="25" spans="1:5" ht="14.1" customHeight="1" x14ac:dyDescent="0.25">
      <c r="A25" s="47"/>
      <c r="B25" s="46"/>
    </row>
    <row r="26" spans="1:5" ht="14.1" customHeight="1" x14ac:dyDescent="0.25">
      <c r="A26" s="47"/>
      <c r="B26" s="46"/>
    </row>
    <row r="27" spans="1:5" ht="14.1" customHeight="1" x14ac:dyDescent="0.25">
      <c r="A27" s="47"/>
      <c r="B27" s="46"/>
    </row>
    <row r="28" spans="1:5" ht="14.1" customHeight="1" x14ac:dyDescent="0.25">
      <c r="A28" s="47"/>
      <c r="B28" s="46"/>
    </row>
    <row r="29" spans="1:5" ht="14.1" customHeight="1" x14ac:dyDescent="0.25">
      <c r="A29" s="47"/>
      <c r="B29" s="46"/>
    </row>
    <row r="30" spans="1:5" ht="14.1" customHeight="1" x14ac:dyDescent="0.25">
      <c r="A30" s="47"/>
      <c r="B30" s="46"/>
    </row>
    <row r="31" spans="1:5" ht="14.1" customHeight="1" x14ac:dyDescent="0.25">
      <c r="A31" s="47"/>
      <c r="B31" s="46"/>
    </row>
    <row r="32" spans="1:5" ht="14.1" customHeight="1" x14ac:dyDescent="0.25">
      <c r="A32" s="47"/>
      <c r="B32" s="46"/>
    </row>
    <row r="33" spans="1:2" ht="14.1" customHeight="1" x14ac:dyDescent="0.25">
      <c r="A33" s="47"/>
      <c r="B33" s="46"/>
    </row>
    <row r="34" spans="1:2" ht="14.1" customHeight="1" x14ac:dyDescent="0.25">
      <c r="A34" s="47"/>
      <c r="B34" s="46"/>
    </row>
    <row r="35" spans="1:2" ht="14.1" customHeight="1" x14ac:dyDescent="0.25">
      <c r="A35" s="47"/>
      <c r="B35" s="46"/>
    </row>
    <row r="36" spans="1:2" ht="14.1" customHeight="1" x14ac:dyDescent="0.25">
      <c r="A36" s="47"/>
      <c r="B36" s="46"/>
    </row>
    <row r="37" spans="1:2" ht="14.1" customHeight="1" x14ac:dyDescent="0.25">
      <c r="A37" s="47"/>
      <c r="B37" s="46"/>
    </row>
    <row r="38" spans="1:2" ht="14.1" customHeight="1" x14ac:dyDescent="0.25">
      <c r="A38" s="47"/>
      <c r="B38" s="46"/>
    </row>
    <row r="39" spans="1:2" ht="14.1" customHeight="1" x14ac:dyDescent="0.25">
      <c r="A39" s="47"/>
      <c r="B39" s="46"/>
    </row>
    <row r="40" spans="1:2" ht="14.1" customHeight="1" x14ac:dyDescent="0.25">
      <c r="A40" s="47"/>
      <c r="B40" s="46"/>
    </row>
    <row r="41" spans="1:2" ht="14.1" customHeight="1" x14ac:dyDescent="0.25">
      <c r="A41" s="47"/>
      <c r="B41" s="46"/>
    </row>
    <row r="42" spans="1:2" ht="14.1" customHeight="1" x14ac:dyDescent="0.25">
      <c r="A42" s="47"/>
      <c r="B42" s="46"/>
    </row>
    <row r="43" spans="1:2" ht="14.1" customHeight="1" x14ac:dyDescent="0.25">
      <c r="A43" s="47"/>
      <c r="B43" s="46"/>
    </row>
    <row r="44" spans="1:2" ht="14.1" customHeight="1" x14ac:dyDescent="0.25">
      <c r="A44" s="47"/>
      <c r="B44" s="46"/>
    </row>
    <row r="45" spans="1:2" ht="14.1" customHeight="1" x14ac:dyDescent="0.25">
      <c r="A45" s="47"/>
      <c r="B45" s="46"/>
    </row>
    <row r="46" spans="1:2" ht="14.1" customHeight="1" x14ac:dyDescent="0.25">
      <c r="A46" s="47"/>
      <c r="B46" s="46"/>
    </row>
    <row r="47" spans="1:2" ht="14.1" customHeight="1" x14ac:dyDescent="0.25">
      <c r="A47" s="47"/>
      <c r="B47" s="46"/>
    </row>
    <row r="48" spans="1:2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5">
    <mergeCell ref="D2:E2"/>
    <mergeCell ref="D10:E10"/>
    <mergeCell ref="D23:E23"/>
    <mergeCell ref="A1:A50"/>
    <mergeCell ref="B1:B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0F85-8C0C-4DDA-93D3-0D045DFC0B18}">
  <sheetPr codeName="Planilha3"/>
  <dimension ref="A1:E50"/>
  <sheetViews>
    <sheetView showGridLines="0" showRowColHeaders="0" zoomScale="90" zoomScaleNormal="90" workbookViewId="0">
      <selection activeCell="E17" sqref="E17"/>
    </sheetView>
  </sheetViews>
  <sheetFormatPr defaultRowHeight="15" x14ac:dyDescent="0.25"/>
  <cols>
    <col min="1" max="2" width="22.28515625" customWidth="1"/>
    <col min="4" max="4" width="45.140625" customWidth="1"/>
    <col min="5" max="5" width="28" style="11" customWidth="1"/>
  </cols>
  <sheetData>
    <row r="1" spans="1:5" ht="19.5" customHeight="1" thickBot="1" x14ac:dyDescent="0.35">
      <c r="A1" s="47" t="s">
        <v>0</v>
      </c>
      <c r="B1" s="46"/>
      <c r="D1" s="1" t="s">
        <v>135</v>
      </c>
      <c r="E1" s="9"/>
    </row>
    <row r="2" spans="1:5" ht="14.1" customHeight="1" thickTop="1" x14ac:dyDescent="0.25">
      <c r="A2" s="47"/>
      <c r="B2" s="46"/>
      <c r="E2"/>
    </row>
    <row r="3" spans="1:5" ht="14.1" customHeight="1" x14ac:dyDescent="0.25">
      <c r="A3" s="47"/>
      <c r="B3" s="46"/>
      <c r="D3" s="10" t="s">
        <v>189</v>
      </c>
    </row>
    <row r="4" spans="1:5" ht="14.1" customHeight="1" x14ac:dyDescent="0.25">
      <c r="A4" s="47"/>
      <c r="B4" s="46"/>
      <c r="D4" s="48"/>
      <c r="E4" s="49"/>
    </row>
    <row r="5" spans="1:5" ht="14.1" customHeight="1" x14ac:dyDescent="0.25">
      <c r="A5" s="47"/>
      <c r="B5" s="46"/>
      <c r="D5" s="10" t="s">
        <v>113</v>
      </c>
    </row>
    <row r="6" spans="1:5" ht="14.1" customHeight="1" x14ac:dyDescent="0.3">
      <c r="A6" s="47"/>
      <c r="B6" s="46"/>
      <c r="D6" s="2" t="s">
        <v>30</v>
      </c>
      <c r="E6" s="35" t="s">
        <v>49</v>
      </c>
    </row>
    <row r="7" spans="1:5" ht="14.1" customHeight="1" x14ac:dyDescent="0.3">
      <c r="A7" s="47"/>
      <c r="B7" s="46"/>
      <c r="D7" s="2" t="s">
        <v>114</v>
      </c>
      <c r="E7" s="36">
        <v>7400</v>
      </c>
    </row>
    <row r="8" spans="1:5" ht="14.1" customHeight="1" x14ac:dyDescent="0.3">
      <c r="A8" s="47"/>
      <c r="B8" s="46"/>
      <c r="D8" s="2" t="s">
        <v>115</v>
      </c>
      <c r="E8" s="37" t="s">
        <v>116</v>
      </c>
    </row>
    <row r="9" spans="1:5" ht="14.1" customHeight="1" x14ac:dyDescent="0.25">
      <c r="A9" s="47"/>
      <c r="B9" s="46"/>
      <c r="D9" s="10" t="s">
        <v>117</v>
      </c>
    </row>
    <row r="10" spans="1:5" ht="14.1" customHeight="1" x14ac:dyDescent="0.3">
      <c r="A10" s="47"/>
      <c r="B10" s="46"/>
      <c r="D10" s="2" t="s">
        <v>30</v>
      </c>
      <c r="E10" s="35" t="s">
        <v>92</v>
      </c>
    </row>
    <row r="11" spans="1:5" ht="14.1" customHeight="1" x14ac:dyDescent="0.3">
      <c r="A11" s="47"/>
      <c r="B11" s="46"/>
      <c r="D11" s="2" t="s">
        <v>114</v>
      </c>
      <c r="E11" s="36">
        <v>1500</v>
      </c>
    </row>
    <row r="12" spans="1:5" ht="14.1" customHeight="1" x14ac:dyDescent="0.3">
      <c r="A12" s="47"/>
      <c r="B12" s="46"/>
      <c r="D12" s="2" t="s">
        <v>115</v>
      </c>
      <c r="E12" s="37" t="s">
        <v>118</v>
      </c>
    </row>
    <row r="13" spans="1:5" ht="14.1" customHeight="1" x14ac:dyDescent="0.25">
      <c r="A13" s="47"/>
      <c r="B13" s="46"/>
    </row>
    <row r="14" spans="1:5" ht="14.1" customHeight="1" x14ac:dyDescent="0.25">
      <c r="A14" s="47"/>
      <c r="B14" s="46"/>
      <c r="D14" s="10" t="s">
        <v>119</v>
      </c>
    </row>
    <row r="15" spans="1:5" ht="14.1" customHeight="1" x14ac:dyDescent="0.3">
      <c r="A15" s="47"/>
      <c r="B15" s="46"/>
      <c r="D15" s="2" t="s">
        <v>30</v>
      </c>
      <c r="E15" s="35" t="s">
        <v>59</v>
      </c>
    </row>
    <row r="16" spans="1:5" ht="14.1" customHeight="1" x14ac:dyDescent="0.3">
      <c r="A16" s="47"/>
      <c r="B16" s="46"/>
      <c r="D16" s="2" t="s">
        <v>114</v>
      </c>
      <c r="E16" s="36">
        <v>385</v>
      </c>
    </row>
    <row r="17" spans="1:5" ht="14.1" customHeight="1" x14ac:dyDescent="0.3">
      <c r="A17" s="47"/>
      <c r="B17" s="46"/>
      <c r="D17" s="2" t="s">
        <v>115</v>
      </c>
      <c r="E17" s="37" t="s">
        <v>118</v>
      </c>
    </row>
    <row r="18" spans="1:5" ht="14.1" customHeight="1" x14ac:dyDescent="0.25">
      <c r="A18" s="47"/>
      <c r="B18" s="46"/>
    </row>
    <row r="19" spans="1:5" ht="14.1" customHeight="1" x14ac:dyDescent="0.25">
      <c r="A19" s="47"/>
      <c r="B19" s="46"/>
      <c r="D19" s="10" t="s">
        <v>120</v>
      </c>
    </row>
    <row r="20" spans="1:5" ht="14.1" customHeight="1" x14ac:dyDescent="0.3">
      <c r="A20" s="47"/>
      <c r="B20" s="46"/>
      <c r="D20" s="2" t="s">
        <v>30</v>
      </c>
      <c r="E20" s="35" t="s">
        <v>64</v>
      </c>
    </row>
    <row r="21" spans="1:5" ht="14.1" customHeight="1" x14ac:dyDescent="0.3">
      <c r="A21" s="47"/>
      <c r="B21" s="46"/>
      <c r="D21" s="2" t="s">
        <v>114</v>
      </c>
      <c r="E21" s="36">
        <v>15</v>
      </c>
    </row>
    <row r="22" spans="1:5" ht="14.1" customHeight="1" x14ac:dyDescent="0.3">
      <c r="A22" s="47"/>
      <c r="B22" s="46"/>
      <c r="D22" s="2" t="s">
        <v>115</v>
      </c>
      <c r="E22" s="37" t="s">
        <v>118</v>
      </c>
    </row>
    <row r="23" spans="1:5" ht="14.1" customHeight="1" x14ac:dyDescent="0.25">
      <c r="A23" s="47"/>
      <c r="B23" s="46"/>
    </row>
    <row r="24" spans="1:5" ht="14.1" customHeight="1" x14ac:dyDescent="0.25">
      <c r="A24" s="47"/>
      <c r="B24" s="46"/>
    </row>
    <row r="25" spans="1:5" ht="14.1" customHeight="1" x14ac:dyDescent="0.3">
      <c r="A25" s="47"/>
      <c r="B25" s="46"/>
      <c r="D25" s="43" t="s">
        <v>112</v>
      </c>
      <c r="E25" s="43"/>
    </row>
    <row r="26" spans="1:5" ht="14.1" customHeight="1" x14ac:dyDescent="0.3">
      <c r="A26" s="47"/>
      <c r="B26" s="46"/>
      <c r="E26" s="8">
        <f>SUM(E7,E11,E16,E21)</f>
        <v>9300</v>
      </c>
    </row>
    <row r="27" spans="1:5" ht="14.1" customHeight="1" x14ac:dyDescent="0.25">
      <c r="A27" s="47"/>
      <c r="B27" s="46"/>
    </row>
    <row r="28" spans="1:5" ht="14.1" customHeight="1" x14ac:dyDescent="0.25">
      <c r="A28" s="47"/>
      <c r="B28" s="46"/>
    </row>
    <row r="29" spans="1:5" ht="14.1" customHeight="1" x14ac:dyDescent="0.25">
      <c r="A29" s="47"/>
      <c r="B29" s="46"/>
    </row>
    <row r="30" spans="1:5" ht="14.1" customHeight="1" x14ac:dyDescent="0.25">
      <c r="A30" s="47"/>
      <c r="B30" s="46"/>
    </row>
    <row r="31" spans="1:5" ht="14.1" customHeight="1" x14ac:dyDescent="0.25">
      <c r="A31" s="47"/>
      <c r="B31" s="46"/>
    </row>
    <row r="32" spans="1:5" ht="14.1" customHeight="1" x14ac:dyDescent="0.25">
      <c r="A32" s="47"/>
      <c r="B32" s="46"/>
    </row>
    <row r="33" spans="1:2" ht="14.1" customHeight="1" x14ac:dyDescent="0.25">
      <c r="A33" s="47"/>
      <c r="B33" s="46"/>
    </row>
    <row r="34" spans="1:2" ht="14.1" customHeight="1" x14ac:dyDescent="0.25">
      <c r="A34" s="47"/>
      <c r="B34" s="46"/>
    </row>
    <row r="35" spans="1:2" ht="14.1" customHeight="1" x14ac:dyDescent="0.25">
      <c r="A35" s="47"/>
      <c r="B35" s="46"/>
    </row>
    <row r="36" spans="1:2" ht="14.1" customHeight="1" x14ac:dyDescent="0.25">
      <c r="A36" s="47"/>
      <c r="B36" s="46"/>
    </row>
    <row r="37" spans="1:2" ht="14.1" customHeight="1" x14ac:dyDescent="0.25">
      <c r="A37" s="47"/>
      <c r="B37" s="46"/>
    </row>
    <row r="38" spans="1:2" ht="14.1" customHeight="1" x14ac:dyDescent="0.25">
      <c r="A38" s="47"/>
      <c r="B38" s="46"/>
    </row>
    <row r="39" spans="1:2" ht="14.1" customHeight="1" x14ac:dyDescent="0.25">
      <c r="A39" s="47"/>
      <c r="B39" s="46"/>
    </row>
    <row r="40" spans="1:2" ht="14.1" customHeight="1" x14ac:dyDescent="0.25">
      <c r="A40" s="47"/>
      <c r="B40" s="46"/>
    </row>
    <row r="41" spans="1:2" ht="14.1" customHeight="1" x14ac:dyDescent="0.25">
      <c r="A41" s="47"/>
      <c r="B41" s="46"/>
    </row>
    <row r="42" spans="1:2" ht="14.1" customHeight="1" x14ac:dyDescent="0.25">
      <c r="A42" s="47"/>
      <c r="B42" s="46"/>
    </row>
    <row r="43" spans="1:2" ht="14.1" customHeight="1" x14ac:dyDescent="0.25">
      <c r="A43" s="47"/>
      <c r="B43" s="46"/>
    </row>
    <row r="44" spans="1:2" ht="14.1" customHeight="1" x14ac:dyDescent="0.25">
      <c r="A44" s="47"/>
      <c r="B44" s="46"/>
    </row>
    <row r="45" spans="1:2" ht="14.1" customHeight="1" x14ac:dyDescent="0.25">
      <c r="A45" s="47"/>
      <c r="B45" s="46"/>
    </row>
    <row r="46" spans="1:2" ht="14.1" customHeight="1" x14ac:dyDescent="0.25">
      <c r="A46" s="47"/>
      <c r="B46" s="46"/>
    </row>
    <row r="47" spans="1:2" ht="14.1" customHeight="1" x14ac:dyDescent="0.25">
      <c r="A47" s="47"/>
      <c r="B47" s="46"/>
    </row>
    <row r="48" spans="1:2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4">
    <mergeCell ref="D4:E4"/>
    <mergeCell ref="D25:E25"/>
    <mergeCell ref="B1:B50"/>
    <mergeCell ref="A1:A50"/>
  </mergeCells>
  <hyperlinks>
    <hyperlink ref="E8" r:id="rId1" display="Banco_In.PDF" xr:uid="{ECFF975C-E390-4B85-BCEF-71EF25CA3228}"/>
    <hyperlink ref="E12" r:id="rId2" display="Banco_In.PDF" xr:uid="{002EBDB3-73D4-4460-AD59-A770595E3AE8}"/>
    <hyperlink ref="E17" r:id="rId3" display="Banco_In.PDF" xr:uid="{8F1FE6F7-F8B1-487C-BFA5-39F7194AA7FD}"/>
    <hyperlink ref="E22" r:id="rId4" display="Banco_In.PDF" xr:uid="{1FFDB47E-F2E2-4207-B5DE-E81E16338A31}"/>
  </hyperlinks>
  <pageMargins left="0.7" right="0.7" top="0.75" bottom="0.75" header="0.3" footer="0.3"/>
  <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2474CA-E799-40F8-BF86-61DAC8E8E75F}">
          <x14:formula1>
            <xm:f>TABELAS!$A$2:$A$51</xm:f>
          </x14:formula1>
          <xm:sqref>E6 E10 E15 E20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FAC0-1205-4EE2-AA73-6546F10E0C0E}">
  <sheetPr codeName="Planilha5"/>
  <dimension ref="A1:E50"/>
  <sheetViews>
    <sheetView showGridLines="0" showRowColHeaders="0" zoomScale="90" zoomScaleNormal="90" workbookViewId="0">
      <selection activeCell="E14" sqref="E14"/>
    </sheetView>
  </sheetViews>
  <sheetFormatPr defaultRowHeight="15" x14ac:dyDescent="0.25"/>
  <cols>
    <col min="1" max="2" width="22.28515625" customWidth="1"/>
    <col min="4" max="4" width="36.42578125" customWidth="1"/>
    <col min="5" max="5" width="37.140625" customWidth="1"/>
  </cols>
  <sheetData>
    <row r="1" spans="1:5" ht="19.5" customHeight="1" thickBot="1" x14ac:dyDescent="0.35">
      <c r="A1" s="47" t="s">
        <v>0</v>
      </c>
      <c r="B1" s="46"/>
      <c r="D1" s="1" t="s">
        <v>121</v>
      </c>
      <c r="E1" s="5"/>
    </row>
    <row r="2" spans="1:5" ht="14.1" customHeight="1" thickTop="1" x14ac:dyDescent="0.25">
      <c r="A2" s="47"/>
      <c r="B2" s="46"/>
      <c r="D2" s="45" t="s">
        <v>122</v>
      </c>
      <c r="E2" s="45"/>
    </row>
    <row r="3" spans="1:5" ht="14.1" customHeight="1" x14ac:dyDescent="0.3">
      <c r="A3" s="47"/>
      <c r="B3" s="46"/>
      <c r="D3" s="2" t="s">
        <v>110</v>
      </c>
      <c r="E3" s="23" t="s">
        <v>169</v>
      </c>
    </row>
    <row r="4" spans="1:5" ht="14.1" customHeight="1" x14ac:dyDescent="0.3">
      <c r="A4" s="47"/>
      <c r="B4" s="46"/>
      <c r="D4" s="2" t="s">
        <v>123</v>
      </c>
      <c r="E4" s="24" t="s">
        <v>167</v>
      </c>
    </row>
    <row r="5" spans="1:5" ht="14.1" customHeight="1" x14ac:dyDescent="0.3">
      <c r="A5" s="47"/>
      <c r="B5" s="46"/>
      <c r="D5" s="2" t="s">
        <v>124</v>
      </c>
      <c r="E5" s="25">
        <v>15102023</v>
      </c>
    </row>
    <row r="6" spans="1:5" ht="14.1" customHeight="1" x14ac:dyDescent="0.3">
      <c r="A6" s="47"/>
      <c r="B6" s="46"/>
      <c r="D6" s="2" t="s">
        <v>125</v>
      </c>
      <c r="E6" s="34">
        <v>15000</v>
      </c>
    </row>
    <row r="7" spans="1:5" ht="14.1" customHeight="1" x14ac:dyDescent="0.3">
      <c r="A7" s="47"/>
      <c r="B7" s="46"/>
      <c r="D7" s="2" t="s">
        <v>126</v>
      </c>
      <c r="E7" s="34">
        <v>17000</v>
      </c>
    </row>
    <row r="8" spans="1:5" ht="14.1" customHeight="1" x14ac:dyDescent="0.3">
      <c r="A8" s="47"/>
      <c r="B8" s="46"/>
      <c r="D8" s="4" t="s">
        <v>127</v>
      </c>
      <c r="E8" s="4"/>
    </row>
    <row r="9" spans="1:5" ht="14.1" customHeight="1" x14ac:dyDescent="0.3">
      <c r="A9" s="47"/>
      <c r="B9" s="46"/>
      <c r="D9" s="2" t="s">
        <v>128</v>
      </c>
      <c r="E9" s="23" t="s">
        <v>170</v>
      </c>
    </row>
    <row r="10" spans="1:5" ht="14.1" customHeight="1" x14ac:dyDescent="0.3">
      <c r="A10" s="47"/>
      <c r="B10" s="46"/>
      <c r="D10" s="2" t="s">
        <v>129</v>
      </c>
      <c r="E10" s="38">
        <v>100</v>
      </c>
    </row>
    <row r="11" spans="1:5" ht="14.1" customHeight="1" x14ac:dyDescent="0.3">
      <c r="A11" s="47"/>
      <c r="B11" s="46"/>
      <c r="D11" s="2" t="s">
        <v>130</v>
      </c>
      <c r="E11" s="34">
        <v>35</v>
      </c>
    </row>
    <row r="12" spans="1:5" ht="14.1" customHeight="1" x14ac:dyDescent="0.3">
      <c r="A12" s="47"/>
      <c r="B12" s="46"/>
      <c r="D12" s="2" t="s">
        <v>131</v>
      </c>
      <c r="E12" s="34">
        <f>E11*E10</f>
        <v>3500</v>
      </c>
    </row>
    <row r="13" spans="1:5" ht="14.1" customHeight="1" x14ac:dyDescent="0.3">
      <c r="A13" s="47"/>
      <c r="B13" s="46"/>
      <c r="D13" s="4" t="s">
        <v>132</v>
      </c>
      <c r="E13" s="4"/>
    </row>
    <row r="14" spans="1:5" ht="14.1" customHeight="1" x14ac:dyDescent="0.3">
      <c r="A14" s="47"/>
      <c r="B14" s="46"/>
      <c r="D14" s="2" t="s">
        <v>133</v>
      </c>
      <c r="E14" s="23" t="s">
        <v>168</v>
      </c>
    </row>
    <row r="15" spans="1:5" ht="14.1" customHeight="1" x14ac:dyDescent="0.3">
      <c r="A15" s="47"/>
      <c r="B15" s="46"/>
      <c r="D15" s="2" t="s">
        <v>129</v>
      </c>
      <c r="E15" s="38">
        <v>100</v>
      </c>
    </row>
    <row r="16" spans="1:5" ht="14.1" customHeight="1" x14ac:dyDescent="0.3">
      <c r="A16" s="47"/>
      <c r="B16" s="46"/>
      <c r="D16" s="2" t="s">
        <v>125</v>
      </c>
      <c r="E16" s="34" t="s">
        <v>166</v>
      </c>
    </row>
    <row r="17" spans="1:5" ht="14.1" customHeight="1" x14ac:dyDescent="0.3">
      <c r="A17" s="47"/>
      <c r="B17" s="46"/>
      <c r="D17" s="2" t="s">
        <v>134</v>
      </c>
      <c r="E17" s="34">
        <v>500</v>
      </c>
    </row>
    <row r="18" spans="1:5" ht="14.1" customHeight="1" x14ac:dyDescent="0.3">
      <c r="A18" s="47"/>
      <c r="B18" s="46"/>
      <c r="D18" s="20" t="s">
        <v>126</v>
      </c>
      <c r="E18" s="34">
        <v>350</v>
      </c>
    </row>
    <row r="19" spans="1:5" ht="14.1" customHeight="1" x14ac:dyDescent="0.3">
      <c r="A19" s="47"/>
      <c r="B19" s="46"/>
      <c r="D19" s="43" t="s">
        <v>112</v>
      </c>
      <c r="E19" s="43"/>
    </row>
    <row r="20" spans="1:5" ht="14.1" customHeight="1" x14ac:dyDescent="0.3">
      <c r="A20" s="47"/>
      <c r="B20" s="46"/>
      <c r="E20" s="8">
        <f>SUM(E7+E12+E18)</f>
        <v>20850</v>
      </c>
    </row>
    <row r="21" spans="1:5" ht="14.1" customHeight="1" x14ac:dyDescent="0.25">
      <c r="A21" s="47"/>
      <c r="B21" s="46"/>
    </row>
    <row r="22" spans="1:5" ht="14.1" customHeight="1" x14ac:dyDescent="0.25">
      <c r="A22" s="47"/>
      <c r="B22" s="46"/>
    </row>
    <row r="23" spans="1:5" ht="14.1" customHeight="1" x14ac:dyDescent="0.25">
      <c r="A23" s="47"/>
      <c r="B23" s="46"/>
    </row>
    <row r="24" spans="1:5" ht="14.1" customHeight="1" x14ac:dyDescent="0.25">
      <c r="A24" s="47"/>
      <c r="B24" s="46"/>
    </row>
    <row r="25" spans="1:5" ht="14.1" customHeight="1" x14ac:dyDescent="0.25">
      <c r="A25" s="47"/>
      <c r="B25" s="46"/>
    </row>
    <row r="26" spans="1:5" ht="14.1" customHeight="1" x14ac:dyDescent="0.25">
      <c r="A26" s="47"/>
      <c r="B26" s="46"/>
    </row>
    <row r="27" spans="1:5" ht="14.1" customHeight="1" x14ac:dyDescent="0.25">
      <c r="A27" s="47"/>
      <c r="B27" s="46"/>
    </row>
    <row r="28" spans="1:5" ht="14.1" customHeight="1" x14ac:dyDescent="0.25">
      <c r="A28" s="47"/>
      <c r="B28" s="46"/>
    </row>
    <row r="29" spans="1:5" ht="14.1" customHeight="1" x14ac:dyDescent="0.25">
      <c r="A29" s="47"/>
      <c r="B29" s="46"/>
    </row>
    <row r="30" spans="1:5" ht="14.1" customHeight="1" x14ac:dyDescent="0.25">
      <c r="A30" s="47"/>
      <c r="B30" s="46"/>
    </row>
    <row r="31" spans="1:5" ht="14.1" customHeight="1" x14ac:dyDescent="0.25">
      <c r="A31" s="47"/>
      <c r="B31" s="46"/>
    </row>
    <row r="32" spans="1:5" ht="14.1" customHeight="1" x14ac:dyDescent="0.25">
      <c r="A32" s="47"/>
      <c r="B32" s="46"/>
    </row>
    <row r="33" spans="1:2" ht="14.1" customHeight="1" x14ac:dyDescent="0.25">
      <c r="A33" s="47"/>
      <c r="B33" s="46"/>
    </row>
    <row r="34" spans="1:2" ht="14.1" customHeight="1" x14ac:dyDescent="0.25">
      <c r="A34" s="47"/>
      <c r="B34" s="46"/>
    </row>
    <row r="35" spans="1:2" ht="14.1" customHeight="1" x14ac:dyDescent="0.25">
      <c r="A35" s="47"/>
      <c r="B35" s="46"/>
    </row>
    <row r="36" spans="1:2" ht="14.1" customHeight="1" x14ac:dyDescent="0.25">
      <c r="A36" s="47"/>
      <c r="B36" s="46"/>
    </row>
    <row r="37" spans="1:2" ht="14.1" customHeight="1" x14ac:dyDescent="0.25">
      <c r="A37" s="47"/>
      <c r="B37" s="46"/>
    </row>
    <row r="38" spans="1:2" ht="14.1" customHeight="1" x14ac:dyDescent="0.25">
      <c r="A38" s="47"/>
      <c r="B38" s="46"/>
    </row>
    <row r="39" spans="1:2" ht="14.1" customHeight="1" x14ac:dyDescent="0.25">
      <c r="A39" s="47"/>
      <c r="B39" s="46"/>
    </row>
    <row r="40" spans="1:2" ht="14.1" customHeight="1" x14ac:dyDescent="0.25">
      <c r="A40" s="47"/>
      <c r="B40" s="46"/>
    </row>
    <row r="41" spans="1:2" ht="14.1" customHeight="1" x14ac:dyDescent="0.25">
      <c r="A41" s="47"/>
      <c r="B41" s="46"/>
    </row>
    <row r="42" spans="1:2" ht="14.1" customHeight="1" x14ac:dyDescent="0.25">
      <c r="A42" s="47"/>
      <c r="B42" s="46"/>
    </row>
    <row r="43" spans="1:2" ht="14.1" customHeight="1" x14ac:dyDescent="0.25">
      <c r="A43" s="47"/>
      <c r="B43" s="46"/>
    </row>
    <row r="44" spans="1:2" ht="14.1" customHeight="1" x14ac:dyDescent="0.25">
      <c r="A44" s="47"/>
      <c r="B44" s="46"/>
    </row>
    <row r="45" spans="1:2" ht="14.1" customHeight="1" x14ac:dyDescent="0.25">
      <c r="A45" s="47"/>
      <c r="B45" s="46"/>
    </row>
    <row r="46" spans="1:2" ht="14.1" customHeight="1" x14ac:dyDescent="0.25">
      <c r="A46" s="47"/>
      <c r="B46" s="46"/>
    </row>
    <row r="47" spans="1:2" ht="14.1" customHeight="1" x14ac:dyDescent="0.25">
      <c r="A47" s="47"/>
      <c r="B47" s="46"/>
    </row>
    <row r="48" spans="1:2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4">
    <mergeCell ref="D2:E2"/>
    <mergeCell ref="D19:E19"/>
    <mergeCell ref="B1:B50"/>
    <mergeCell ref="A1:A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D12F-4BC7-4D13-9590-F1C13C1E105B}">
  <sheetPr codeName="Planilha6"/>
  <dimension ref="A1:E50"/>
  <sheetViews>
    <sheetView showGridLines="0" showRowColHeaders="0" zoomScale="90" zoomScaleNormal="90" workbookViewId="0">
      <selection activeCell="E28" sqref="E28"/>
    </sheetView>
  </sheetViews>
  <sheetFormatPr defaultRowHeight="15" x14ac:dyDescent="0.25"/>
  <cols>
    <col min="1" max="2" width="22.28515625" customWidth="1"/>
    <col min="4" max="4" width="36.42578125" customWidth="1"/>
    <col min="5" max="5" width="37.140625" customWidth="1"/>
  </cols>
  <sheetData>
    <row r="1" spans="1:5" ht="19.5" customHeight="1" thickBot="1" x14ac:dyDescent="0.5">
      <c r="A1" s="47" t="s">
        <v>0</v>
      </c>
      <c r="B1" s="46"/>
      <c r="D1" s="19" t="s">
        <v>137</v>
      </c>
      <c r="E1" s="5"/>
    </row>
    <row r="2" spans="1:5" ht="14.1" customHeight="1" thickTop="1" x14ac:dyDescent="0.3">
      <c r="A2" s="47"/>
      <c r="B2" s="46"/>
      <c r="D2" s="51" t="s">
        <v>148</v>
      </c>
      <c r="E2" s="51"/>
    </row>
    <row r="3" spans="1:5" ht="14.1" customHeight="1" x14ac:dyDescent="0.3">
      <c r="A3" s="47"/>
      <c r="B3" s="46"/>
      <c r="D3" s="2" t="s">
        <v>171</v>
      </c>
      <c r="E3" s="23" t="s">
        <v>172</v>
      </c>
    </row>
    <row r="4" spans="1:5" ht="14.1" customHeight="1" x14ac:dyDescent="0.3">
      <c r="A4" s="47"/>
      <c r="B4" s="46"/>
      <c r="D4" s="2" t="s">
        <v>99</v>
      </c>
      <c r="E4" s="33">
        <v>12345678000195</v>
      </c>
    </row>
    <row r="5" spans="1:5" ht="14.1" customHeight="1" x14ac:dyDescent="0.3">
      <c r="A5" s="47"/>
      <c r="B5" s="46"/>
      <c r="D5" s="2" t="s">
        <v>138</v>
      </c>
      <c r="E5" s="34">
        <v>10000</v>
      </c>
    </row>
    <row r="6" spans="1:5" ht="14.1" customHeight="1" thickBot="1" x14ac:dyDescent="0.35">
      <c r="A6" s="47"/>
      <c r="B6" s="46"/>
      <c r="D6" s="2" t="s">
        <v>139</v>
      </c>
      <c r="E6" s="34">
        <v>1500</v>
      </c>
    </row>
    <row r="7" spans="1:5" ht="14.1" customHeight="1" thickTop="1" x14ac:dyDescent="0.25">
      <c r="A7" s="47"/>
      <c r="B7" s="46"/>
      <c r="D7" s="3" t="s">
        <v>149</v>
      </c>
      <c r="E7" s="3"/>
    </row>
    <row r="8" spans="1:5" ht="14.1" customHeight="1" x14ac:dyDescent="0.3">
      <c r="A8" s="47"/>
      <c r="B8" s="46"/>
      <c r="D8" s="2" t="s">
        <v>171</v>
      </c>
      <c r="E8" s="23" t="s">
        <v>174</v>
      </c>
    </row>
    <row r="9" spans="1:5" ht="14.1" customHeight="1" x14ac:dyDescent="0.3">
      <c r="A9" s="47"/>
      <c r="B9" s="46"/>
      <c r="D9" s="2" t="s">
        <v>99</v>
      </c>
      <c r="E9" s="33">
        <v>12345678000195</v>
      </c>
    </row>
    <row r="10" spans="1:5" ht="14.1" customHeight="1" x14ac:dyDescent="0.3">
      <c r="A10" s="47"/>
      <c r="B10" s="46"/>
      <c r="D10" s="2" t="s">
        <v>138</v>
      </c>
      <c r="E10" s="34">
        <v>3700</v>
      </c>
    </row>
    <row r="11" spans="1:5" ht="14.1" customHeight="1" thickBot="1" x14ac:dyDescent="0.35">
      <c r="A11" s="47"/>
      <c r="B11" s="46"/>
      <c r="D11" s="2" t="s">
        <v>139</v>
      </c>
      <c r="E11" s="34">
        <v>500</v>
      </c>
    </row>
    <row r="12" spans="1:5" ht="14.1" customHeight="1" thickTop="1" x14ac:dyDescent="0.25">
      <c r="A12" s="47"/>
      <c r="B12" s="46"/>
      <c r="D12" s="3" t="s">
        <v>150</v>
      </c>
      <c r="E12" s="3"/>
    </row>
    <row r="13" spans="1:5" ht="14.1" customHeight="1" x14ac:dyDescent="0.3">
      <c r="A13" s="47"/>
      <c r="B13" s="46"/>
      <c r="D13" s="2" t="s">
        <v>171</v>
      </c>
      <c r="E13" s="23"/>
    </row>
    <row r="14" spans="1:5" ht="14.1" customHeight="1" x14ac:dyDescent="0.3">
      <c r="A14" s="47"/>
      <c r="B14" s="46"/>
      <c r="D14" s="2" t="s">
        <v>99</v>
      </c>
      <c r="E14" s="33"/>
    </row>
    <row r="15" spans="1:5" ht="14.1" customHeight="1" x14ac:dyDescent="0.3">
      <c r="A15" s="47"/>
      <c r="B15" s="46"/>
      <c r="D15" s="2" t="s">
        <v>138</v>
      </c>
      <c r="E15" s="34"/>
    </row>
    <row r="16" spans="1:5" ht="14.1" customHeight="1" x14ac:dyDescent="0.3">
      <c r="A16" s="47"/>
      <c r="B16" s="46"/>
      <c r="D16" s="2" t="s">
        <v>139</v>
      </c>
      <c r="E16" s="34"/>
    </row>
    <row r="17" spans="1:5" ht="14.1" customHeight="1" x14ac:dyDescent="0.3">
      <c r="A17" s="47"/>
      <c r="B17" s="46"/>
      <c r="D17" s="4" t="s">
        <v>173</v>
      </c>
      <c r="E17" s="4"/>
    </row>
    <row r="18" spans="1:5" ht="14.1" customHeight="1" x14ac:dyDescent="0.3">
      <c r="A18" s="47"/>
      <c r="B18" s="46"/>
      <c r="E18" s="8">
        <f>SUM(E16,E11,E6)</f>
        <v>2000</v>
      </c>
    </row>
    <row r="19" spans="1:5" ht="14.1" customHeight="1" thickBot="1" x14ac:dyDescent="0.3">
      <c r="A19" s="47"/>
      <c r="B19" s="46"/>
      <c r="D19" s="52"/>
      <c r="E19" s="52"/>
    </row>
    <row r="20" spans="1:5" ht="14.1" customHeight="1" thickTop="1" x14ac:dyDescent="0.25">
      <c r="A20" s="47"/>
      <c r="B20" s="46"/>
      <c r="D20" s="45" t="s">
        <v>151</v>
      </c>
      <c r="E20" s="45"/>
    </row>
    <row r="21" spans="1:5" ht="14.1" customHeight="1" x14ac:dyDescent="0.3">
      <c r="A21" s="47"/>
      <c r="B21" s="46"/>
      <c r="D21" s="2" t="s">
        <v>171</v>
      </c>
      <c r="E21" s="23" t="s">
        <v>175</v>
      </c>
    </row>
    <row r="22" spans="1:5" ht="14.1" customHeight="1" x14ac:dyDescent="0.3">
      <c r="A22" s="47"/>
      <c r="B22" s="46"/>
      <c r="D22" s="2" t="s">
        <v>99</v>
      </c>
      <c r="E22" s="33">
        <v>12345678000195</v>
      </c>
    </row>
    <row r="23" spans="1:5" ht="14.1" customHeight="1" x14ac:dyDescent="0.3">
      <c r="A23" s="47"/>
      <c r="B23" s="46"/>
      <c r="D23" s="2" t="s">
        <v>138</v>
      </c>
      <c r="E23" s="34">
        <v>150</v>
      </c>
    </row>
    <row r="24" spans="1:5" ht="14.1" customHeight="1" thickBot="1" x14ac:dyDescent="0.35">
      <c r="A24" s="47"/>
      <c r="B24" s="46"/>
      <c r="D24" s="2" t="s">
        <v>139</v>
      </c>
      <c r="E24" s="34">
        <v>15</v>
      </c>
    </row>
    <row r="25" spans="1:5" ht="14.1" customHeight="1" thickTop="1" x14ac:dyDescent="0.25">
      <c r="A25" s="47"/>
      <c r="B25" s="46"/>
      <c r="D25" s="50" t="s">
        <v>152</v>
      </c>
      <c r="E25" s="50"/>
    </row>
    <row r="26" spans="1:5" ht="14.1" customHeight="1" x14ac:dyDescent="0.3">
      <c r="A26" s="47"/>
      <c r="B26" s="46"/>
      <c r="D26" s="2" t="s">
        <v>171</v>
      </c>
      <c r="E26" s="23" t="s">
        <v>176</v>
      </c>
    </row>
    <row r="27" spans="1:5" ht="14.1" customHeight="1" x14ac:dyDescent="0.3">
      <c r="A27" s="47"/>
      <c r="B27" s="46"/>
      <c r="D27" s="2" t="s">
        <v>99</v>
      </c>
      <c r="E27" s="33">
        <v>12345678000195</v>
      </c>
    </row>
    <row r="28" spans="1:5" ht="14.1" customHeight="1" x14ac:dyDescent="0.3">
      <c r="A28" s="47"/>
      <c r="B28" s="46"/>
      <c r="D28" s="2" t="s">
        <v>138</v>
      </c>
      <c r="E28" s="34">
        <v>450</v>
      </c>
    </row>
    <row r="29" spans="1:5" ht="14.1" customHeight="1" thickBot="1" x14ac:dyDescent="0.35">
      <c r="A29" s="47"/>
      <c r="B29" s="46"/>
      <c r="D29" s="2" t="s">
        <v>139</v>
      </c>
      <c r="E29" s="34">
        <v>90</v>
      </c>
    </row>
    <row r="30" spans="1:5" ht="14.1" customHeight="1" thickTop="1" x14ac:dyDescent="0.25">
      <c r="A30" s="47"/>
      <c r="B30" s="46"/>
      <c r="D30" s="3" t="s">
        <v>153</v>
      </c>
      <c r="E30" s="3"/>
    </row>
    <row r="31" spans="1:5" ht="14.1" customHeight="1" x14ac:dyDescent="0.3">
      <c r="A31" s="47"/>
      <c r="B31" s="46"/>
      <c r="D31" s="2" t="s">
        <v>171</v>
      </c>
      <c r="E31" s="23" t="s">
        <v>177</v>
      </c>
    </row>
    <row r="32" spans="1:5" ht="14.1" customHeight="1" x14ac:dyDescent="0.3">
      <c r="A32" s="47"/>
      <c r="B32" s="46"/>
      <c r="D32" s="2" t="s">
        <v>99</v>
      </c>
      <c r="E32" s="33">
        <v>12345678000195</v>
      </c>
    </row>
    <row r="33" spans="1:5" ht="14.1" customHeight="1" x14ac:dyDescent="0.3">
      <c r="A33" s="47"/>
      <c r="B33" s="46"/>
      <c r="D33" s="2" t="s">
        <v>138</v>
      </c>
      <c r="E33" s="34">
        <v>150</v>
      </c>
    </row>
    <row r="34" spans="1:5" ht="14.1" customHeight="1" x14ac:dyDescent="0.3">
      <c r="A34" s="47"/>
      <c r="B34" s="46"/>
      <c r="D34" s="2" t="s">
        <v>139</v>
      </c>
      <c r="E34" s="34">
        <v>45</v>
      </c>
    </row>
    <row r="35" spans="1:5" ht="14.1" customHeight="1" x14ac:dyDescent="0.3">
      <c r="A35" s="47"/>
      <c r="B35" s="46"/>
      <c r="D35" s="4" t="s">
        <v>173</v>
      </c>
      <c r="E35" s="4"/>
    </row>
    <row r="36" spans="1:5" ht="14.1" customHeight="1" x14ac:dyDescent="0.3">
      <c r="A36" s="47"/>
      <c r="B36" s="46"/>
      <c r="E36" s="8">
        <f>SUM(E34,E29,E24)</f>
        <v>150</v>
      </c>
    </row>
    <row r="37" spans="1:5" ht="14.1" customHeight="1" x14ac:dyDescent="0.25">
      <c r="A37" s="47"/>
      <c r="B37" s="46"/>
    </row>
    <row r="38" spans="1:5" ht="14.1" customHeight="1" x14ac:dyDescent="0.25">
      <c r="A38" s="47"/>
      <c r="B38" s="46"/>
    </row>
    <row r="39" spans="1:5" ht="14.1" customHeight="1" x14ac:dyDescent="0.25">
      <c r="A39" s="47"/>
      <c r="B39" s="46"/>
    </row>
    <row r="40" spans="1:5" ht="14.1" customHeight="1" x14ac:dyDescent="0.25">
      <c r="A40" s="47"/>
      <c r="B40" s="46"/>
    </row>
    <row r="41" spans="1:5" ht="14.1" customHeight="1" x14ac:dyDescent="0.25">
      <c r="A41" s="47"/>
      <c r="B41" s="46"/>
    </row>
    <row r="42" spans="1:5" ht="14.1" customHeight="1" x14ac:dyDescent="0.25">
      <c r="A42" s="47"/>
      <c r="B42" s="46"/>
    </row>
    <row r="43" spans="1:5" ht="14.1" customHeight="1" x14ac:dyDescent="0.25">
      <c r="A43" s="47"/>
      <c r="B43" s="46"/>
    </row>
    <row r="44" spans="1:5" ht="14.1" customHeight="1" x14ac:dyDescent="0.25">
      <c r="A44" s="47"/>
      <c r="B44" s="46"/>
    </row>
    <row r="45" spans="1:5" ht="14.1" customHeight="1" x14ac:dyDescent="0.25">
      <c r="A45" s="47"/>
      <c r="B45" s="46"/>
    </row>
    <row r="46" spans="1:5" ht="14.1" customHeight="1" x14ac:dyDescent="0.25">
      <c r="A46" s="47"/>
      <c r="B46" s="46"/>
    </row>
    <row r="47" spans="1:5" ht="14.1" customHeight="1" x14ac:dyDescent="0.25">
      <c r="A47" s="47"/>
      <c r="B47" s="46"/>
    </row>
    <row r="48" spans="1:5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6">
    <mergeCell ref="A1:A50"/>
    <mergeCell ref="D20:E20"/>
    <mergeCell ref="D25:E25"/>
    <mergeCell ref="D2:E2"/>
    <mergeCell ref="D19:E19"/>
    <mergeCell ref="B1:B50"/>
  </mergeCells>
  <dataValidations count="2">
    <dataValidation type="list" allowBlank="1" showInputMessage="1" showErrorMessage="1" sqref="E3 E8 E26 E21" xr:uid="{903887E3-15AE-4D9A-9A91-DC0BEB2451B3}">
      <formula1>"Consulta,Internação,Cirurgia,Medicamento,Stética"</formula1>
    </dataValidation>
    <dataValidation type="list" allowBlank="1" showInputMessage="1" showErrorMessage="1" sqref="E31 E13" xr:uid="{A920AEF8-C613-48F1-AF55-7B47237EA9FF}">
      <formula1>"Consulta, Limpeza, Manutenção de Aparelho, Implante, Extração, Stética bucal, Obturação"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717B-38B4-4A66-AD93-EB9F93C93208}">
  <sheetPr codeName="Planilha7"/>
  <dimension ref="A1:F50"/>
  <sheetViews>
    <sheetView showGridLines="0" showRowColHeaders="0" zoomScale="90" zoomScaleNormal="90" workbookViewId="0">
      <selection activeCell="E35" sqref="E35"/>
    </sheetView>
  </sheetViews>
  <sheetFormatPr defaultRowHeight="15" x14ac:dyDescent="0.25"/>
  <cols>
    <col min="1" max="2" width="22.28515625" customWidth="1"/>
    <col min="4" max="4" width="36.42578125" customWidth="1"/>
    <col min="5" max="5" width="37.140625" customWidth="1"/>
    <col min="6" max="6" width="11.42578125" customWidth="1"/>
  </cols>
  <sheetData>
    <row r="1" spans="1:6" ht="19.5" customHeight="1" thickBot="1" x14ac:dyDescent="0.5">
      <c r="A1" s="47" t="s">
        <v>0</v>
      </c>
      <c r="B1" s="46"/>
      <c r="D1" s="19" t="s">
        <v>154</v>
      </c>
      <c r="E1" s="18"/>
    </row>
    <row r="2" spans="1:6" ht="14.1" customHeight="1" thickTop="1" x14ac:dyDescent="0.3">
      <c r="A2" s="47"/>
      <c r="B2" s="46"/>
      <c r="D2" s="43"/>
      <c r="E2" s="43"/>
    </row>
    <row r="3" spans="1:6" ht="13.5" customHeight="1" x14ac:dyDescent="0.3">
      <c r="A3" s="47"/>
      <c r="B3" s="46"/>
      <c r="D3" s="14"/>
      <c r="E3" s="15"/>
      <c r="F3" s="15"/>
    </row>
    <row r="4" spans="1:6" ht="14.1" customHeight="1" x14ac:dyDescent="0.3">
      <c r="A4" s="47"/>
      <c r="B4" s="46"/>
      <c r="D4" s="53" t="s">
        <v>155</v>
      </c>
      <c r="E4" s="53"/>
      <c r="F4" s="53"/>
    </row>
    <row r="5" spans="1:6" ht="14.1" customHeight="1" x14ac:dyDescent="0.3">
      <c r="A5" s="47"/>
      <c r="B5" s="46"/>
      <c r="D5" s="16" t="s">
        <v>156</v>
      </c>
      <c r="E5" s="17" t="s">
        <v>157</v>
      </c>
      <c r="F5" s="17" t="s">
        <v>158</v>
      </c>
    </row>
    <row r="6" spans="1:6" ht="14.1" customHeight="1" x14ac:dyDescent="0.3">
      <c r="A6" s="47"/>
      <c r="B6" s="46"/>
      <c r="D6" s="39">
        <v>17042025</v>
      </c>
      <c r="E6" s="40" t="s">
        <v>99</v>
      </c>
      <c r="F6" s="41">
        <v>5000</v>
      </c>
    </row>
    <row r="7" spans="1:6" ht="14.1" customHeight="1" x14ac:dyDescent="0.3">
      <c r="A7" s="47"/>
      <c r="B7" s="46"/>
      <c r="D7" s="39">
        <v>15082025</v>
      </c>
      <c r="E7" s="40" t="s">
        <v>178</v>
      </c>
      <c r="F7" s="42">
        <v>1500</v>
      </c>
    </row>
    <row r="8" spans="1:6" ht="14.1" customHeight="1" x14ac:dyDescent="0.3">
      <c r="A8" s="47"/>
      <c r="B8" s="46"/>
      <c r="D8" s="39"/>
      <c r="E8" s="40"/>
      <c r="F8" s="42"/>
    </row>
    <row r="9" spans="1:6" ht="14.1" customHeight="1" x14ac:dyDescent="0.3">
      <c r="A9" s="47"/>
      <c r="B9" s="46"/>
      <c r="D9" s="39"/>
      <c r="E9" s="40"/>
      <c r="F9" s="42"/>
    </row>
    <row r="10" spans="1:6" ht="14.1" customHeight="1" x14ac:dyDescent="0.3">
      <c r="A10" s="47"/>
      <c r="B10" s="46"/>
      <c r="D10" s="39"/>
      <c r="E10" s="40"/>
      <c r="F10" s="42"/>
    </row>
    <row r="11" spans="1:6" ht="14.1" customHeight="1" x14ac:dyDescent="0.3">
      <c r="A11" s="47"/>
      <c r="B11" s="46"/>
      <c r="D11" s="39"/>
      <c r="E11" s="40"/>
      <c r="F11" s="42"/>
    </row>
    <row r="12" spans="1:6" ht="14.1" customHeight="1" x14ac:dyDescent="0.3">
      <c r="A12" s="47"/>
      <c r="B12" s="46"/>
      <c r="D12" s="39"/>
      <c r="E12" s="40"/>
      <c r="F12" s="42"/>
    </row>
    <row r="13" spans="1:6" ht="14.1" customHeight="1" x14ac:dyDescent="0.3">
      <c r="A13" s="47"/>
      <c r="B13" s="46"/>
      <c r="D13" s="39"/>
      <c r="E13" s="40"/>
      <c r="F13" s="42"/>
    </row>
    <row r="14" spans="1:6" ht="14.1" customHeight="1" x14ac:dyDescent="0.3">
      <c r="A14" s="47"/>
      <c r="B14" s="46"/>
      <c r="D14" s="39"/>
      <c r="E14" s="40"/>
      <c r="F14" s="42"/>
    </row>
    <row r="15" spans="1:6" ht="14.1" customHeight="1" x14ac:dyDescent="0.3">
      <c r="A15" s="47"/>
      <c r="B15" s="46"/>
      <c r="D15" s="39"/>
      <c r="E15" s="40"/>
      <c r="F15" s="42"/>
    </row>
    <row r="16" spans="1:6" ht="14.1" customHeight="1" x14ac:dyDescent="0.3">
      <c r="A16" s="47"/>
      <c r="B16" s="46"/>
      <c r="D16" s="39"/>
      <c r="E16" s="40"/>
      <c r="F16" s="42"/>
    </row>
    <row r="17" spans="1:6" ht="14.1" customHeight="1" x14ac:dyDescent="0.3">
      <c r="A17" s="47"/>
      <c r="B17" s="46"/>
      <c r="D17" s="39"/>
      <c r="E17" s="40"/>
      <c r="F17" s="42"/>
    </row>
    <row r="18" spans="1:6" ht="14.1" customHeight="1" x14ac:dyDescent="0.3">
      <c r="A18" s="47"/>
      <c r="B18" s="46"/>
      <c r="D18" s="39"/>
      <c r="E18" s="40"/>
      <c r="F18" s="42"/>
    </row>
    <row r="19" spans="1:6" ht="14.1" customHeight="1" x14ac:dyDescent="0.3">
      <c r="A19" s="47"/>
      <c r="B19" s="46"/>
      <c r="D19" s="39"/>
      <c r="E19" s="40"/>
      <c r="F19" s="42"/>
    </row>
    <row r="20" spans="1:6" ht="14.1" customHeight="1" x14ac:dyDescent="0.3">
      <c r="A20" s="47"/>
      <c r="B20" s="46"/>
      <c r="D20" s="39"/>
      <c r="E20" s="40"/>
      <c r="F20" s="42"/>
    </row>
    <row r="21" spans="1:6" ht="14.1" customHeight="1" x14ac:dyDescent="0.3">
      <c r="A21" s="47"/>
      <c r="B21" s="46"/>
      <c r="D21" s="39"/>
      <c r="E21" s="40"/>
      <c r="F21" s="42"/>
    </row>
    <row r="22" spans="1:6" ht="14.1" customHeight="1" x14ac:dyDescent="0.3">
      <c r="A22" s="47"/>
      <c r="B22" s="46"/>
      <c r="D22" s="39"/>
      <c r="E22" s="40"/>
      <c r="F22" s="42"/>
    </row>
    <row r="23" spans="1:6" ht="14.1" customHeight="1" x14ac:dyDescent="0.3">
      <c r="A23" s="47"/>
      <c r="B23" s="46"/>
      <c r="D23" s="39"/>
      <c r="E23" s="40"/>
      <c r="F23" s="42"/>
    </row>
    <row r="24" spans="1:6" ht="14.1" customHeight="1" x14ac:dyDescent="0.3">
      <c r="A24" s="47"/>
      <c r="B24" s="46"/>
      <c r="D24" s="39"/>
      <c r="E24" s="40"/>
      <c r="F24" s="42"/>
    </row>
    <row r="25" spans="1:6" ht="14.1" customHeight="1" x14ac:dyDescent="0.3">
      <c r="A25" s="47"/>
      <c r="B25" s="46"/>
      <c r="D25" s="39"/>
      <c r="E25" s="40"/>
      <c r="F25" s="42"/>
    </row>
    <row r="26" spans="1:6" ht="14.1" customHeight="1" x14ac:dyDescent="0.3">
      <c r="A26" s="47"/>
      <c r="B26" s="46"/>
      <c r="D26" s="39"/>
      <c r="E26" s="40"/>
      <c r="F26" s="42"/>
    </row>
    <row r="27" spans="1:6" ht="14.1" customHeight="1" x14ac:dyDescent="0.3">
      <c r="A27" s="47"/>
      <c r="B27" s="46"/>
      <c r="D27" s="39"/>
      <c r="E27" s="40"/>
      <c r="F27" s="42"/>
    </row>
    <row r="28" spans="1:6" ht="14.1" customHeight="1" x14ac:dyDescent="0.3">
      <c r="A28" s="47"/>
      <c r="B28" s="46"/>
      <c r="D28" s="39"/>
      <c r="E28" s="40"/>
      <c r="F28" s="42"/>
    </row>
    <row r="29" spans="1:6" ht="14.1" customHeight="1" x14ac:dyDescent="0.3">
      <c r="A29" s="47"/>
      <c r="B29" s="46"/>
      <c r="D29" s="39"/>
      <c r="E29" s="40"/>
      <c r="F29" s="42"/>
    </row>
    <row r="30" spans="1:6" ht="14.1" customHeight="1" x14ac:dyDescent="0.3">
      <c r="A30" s="47"/>
      <c r="B30" s="46"/>
      <c r="D30" s="39"/>
      <c r="E30" s="40"/>
      <c r="F30" s="42"/>
    </row>
    <row r="31" spans="1:6" ht="14.1" customHeight="1" x14ac:dyDescent="0.3">
      <c r="A31" s="47"/>
      <c r="B31" s="46"/>
      <c r="D31" s="39"/>
      <c r="E31" s="40"/>
      <c r="F31" s="42"/>
    </row>
    <row r="32" spans="1:6" ht="14.1" customHeight="1" x14ac:dyDescent="0.3">
      <c r="A32" s="47"/>
      <c r="B32" s="46"/>
      <c r="D32" s="39"/>
      <c r="E32" s="40"/>
      <c r="F32" s="42"/>
    </row>
    <row r="33" spans="1:6" ht="14.1" customHeight="1" x14ac:dyDescent="0.3">
      <c r="A33" s="47"/>
      <c r="B33" s="46"/>
      <c r="D33" s="39"/>
      <c r="E33" s="40"/>
      <c r="F33" s="42"/>
    </row>
    <row r="34" spans="1:6" ht="14.1" customHeight="1" x14ac:dyDescent="0.3">
      <c r="A34" s="47"/>
      <c r="B34" s="46"/>
      <c r="D34" s="39"/>
      <c r="E34" s="40"/>
      <c r="F34" s="42"/>
    </row>
    <row r="35" spans="1:6" ht="14.1" customHeight="1" x14ac:dyDescent="0.3">
      <c r="A35" s="47"/>
      <c r="B35" s="46"/>
      <c r="D35" s="39"/>
      <c r="E35" s="40"/>
      <c r="F35" s="42"/>
    </row>
    <row r="36" spans="1:6" ht="14.1" customHeight="1" x14ac:dyDescent="0.3">
      <c r="A36" s="47"/>
      <c r="B36" s="46"/>
      <c r="D36" s="39"/>
      <c r="E36" s="40"/>
      <c r="F36" s="42"/>
    </row>
    <row r="37" spans="1:6" ht="14.1" customHeight="1" x14ac:dyDescent="0.3">
      <c r="A37" s="47"/>
      <c r="B37" s="46"/>
      <c r="D37" s="39"/>
      <c r="E37" s="40"/>
      <c r="F37" s="42"/>
    </row>
    <row r="38" spans="1:6" ht="14.1" customHeight="1" x14ac:dyDescent="0.3">
      <c r="A38" s="47"/>
      <c r="B38" s="46"/>
      <c r="D38" s="39"/>
      <c r="E38" s="40"/>
      <c r="F38" s="42"/>
    </row>
    <row r="39" spans="1:6" ht="14.1" customHeight="1" x14ac:dyDescent="0.3">
      <c r="A39" s="47"/>
      <c r="B39" s="46"/>
      <c r="D39" s="22" t="s">
        <v>112</v>
      </c>
      <c r="E39" s="22"/>
      <c r="F39" s="21">
        <f>SUBTOTAL(109,F6:F38)</f>
        <v>6500</v>
      </c>
    </row>
    <row r="40" spans="1:6" ht="14.1" customHeight="1" x14ac:dyDescent="0.25">
      <c r="A40" s="47"/>
      <c r="B40" s="46"/>
    </row>
    <row r="41" spans="1:6" ht="14.1" customHeight="1" x14ac:dyDescent="0.25">
      <c r="A41" s="47"/>
      <c r="B41" s="46"/>
    </row>
    <row r="42" spans="1:6" ht="14.1" customHeight="1" x14ac:dyDescent="0.25">
      <c r="A42" s="47"/>
      <c r="B42" s="46"/>
    </row>
    <row r="43" spans="1:6" ht="14.1" customHeight="1" x14ac:dyDescent="0.25">
      <c r="A43" s="47"/>
      <c r="B43" s="46"/>
    </row>
    <row r="44" spans="1:6" ht="14.1" customHeight="1" x14ac:dyDescent="0.25">
      <c r="A44" s="47"/>
      <c r="B44" s="46"/>
    </row>
    <row r="45" spans="1:6" ht="14.1" customHeight="1" x14ac:dyDescent="0.25">
      <c r="A45" s="47"/>
      <c r="B45" s="46"/>
    </row>
    <row r="46" spans="1:6" ht="14.1" customHeight="1" x14ac:dyDescent="0.3">
      <c r="A46" s="47"/>
      <c r="B46" s="46"/>
      <c r="D46" s="12"/>
    </row>
    <row r="47" spans="1:6" ht="14.1" customHeight="1" x14ac:dyDescent="0.25">
      <c r="A47" s="47"/>
      <c r="B47" s="46"/>
    </row>
    <row r="48" spans="1:6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4">
    <mergeCell ref="B1:B50"/>
    <mergeCell ref="A1:A50"/>
    <mergeCell ref="D2:E2"/>
    <mergeCell ref="D4:F4"/>
  </mergeCells>
  <phoneticPr fontId="12" type="noConversion"/>
  <dataValidations count="1">
    <dataValidation type="list" allowBlank="1" showInputMessage="1" showErrorMessage="1" sqref="E6:E38" xr:uid="{D52B01FF-6190-4A8D-8650-FC481D917226}">
      <formula1>"CNPJ,FREELANCE,HOLERITE"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AD26-D10B-4FDA-AC77-8901E2594C4D}">
  <sheetPr codeName="Planilha8"/>
  <dimension ref="A1:E50"/>
  <sheetViews>
    <sheetView showGridLines="0" showRowColHeaders="0" zoomScale="90" zoomScaleNormal="90" workbookViewId="0">
      <selection activeCell="E13" sqref="E13"/>
    </sheetView>
  </sheetViews>
  <sheetFormatPr defaultRowHeight="15" x14ac:dyDescent="0.25"/>
  <cols>
    <col min="1" max="2" width="22.28515625" customWidth="1"/>
    <col min="4" max="4" width="36.42578125" customWidth="1"/>
    <col min="5" max="5" width="37.140625" customWidth="1"/>
  </cols>
  <sheetData>
    <row r="1" spans="1:5" ht="19.5" customHeight="1" thickBot="1" x14ac:dyDescent="0.5">
      <c r="A1" s="47" t="s">
        <v>0</v>
      </c>
      <c r="B1" s="46"/>
      <c r="D1" s="19" t="s">
        <v>141</v>
      </c>
      <c r="E1" s="5"/>
    </row>
    <row r="2" spans="1:5" ht="14.1" customHeight="1" thickTop="1" x14ac:dyDescent="0.3">
      <c r="A2" s="47"/>
      <c r="B2" s="46"/>
      <c r="D2" s="51" t="s">
        <v>140</v>
      </c>
      <c r="E2" s="51"/>
    </row>
    <row r="3" spans="1:5" ht="14.1" customHeight="1" x14ac:dyDescent="0.3">
      <c r="A3" s="47"/>
      <c r="B3" s="46"/>
      <c r="D3" s="13" t="s">
        <v>142</v>
      </c>
      <c r="E3" s="8">
        <f>SUM(RENDIMENTOS!E6,RENDIMENTOS!E8,RENDIMENTOS!E22)</f>
        <v>10840</v>
      </c>
    </row>
    <row r="4" spans="1:5" ht="14.1" customHeight="1" x14ac:dyDescent="0.3">
      <c r="A4" s="47"/>
      <c r="B4" s="46"/>
      <c r="D4" s="13" t="s">
        <v>143</v>
      </c>
      <c r="E4" s="8">
        <f>SUM(RENDIMENTOS!E14)</f>
        <v>800</v>
      </c>
    </row>
    <row r="5" spans="1:5" ht="14.1" customHeight="1" x14ac:dyDescent="0.3">
      <c r="A5" s="47"/>
      <c r="B5" s="46"/>
      <c r="D5" s="13" t="s">
        <v>144</v>
      </c>
      <c r="E5" s="8">
        <f>SUM(INVESTIMENTOS!E7,INVESTIMENTOS!E12,INVESTIMENTOS!E18)</f>
        <v>20850</v>
      </c>
    </row>
    <row r="6" spans="1:5" ht="14.1" customHeight="1" x14ac:dyDescent="0.3">
      <c r="A6" s="47"/>
      <c r="B6" s="46"/>
      <c r="D6" s="13" t="s">
        <v>145</v>
      </c>
      <c r="E6" s="8">
        <f>SUM(INVESTIMENTOS!E7+INVESTIMENTOS!E12+INVESTIMENTOS!E18)</f>
        <v>20850</v>
      </c>
    </row>
    <row r="7" spans="1:5" ht="14.1" customHeight="1" x14ac:dyDescent="0.3">
      <c r="A7" s="47"/>
      <c r="B7" s="46"/>
      <c r="D7" s="13" t="s">
        <v>146</v>
      </c>
      <c r="E7" s="8">
        <f>RENDIMENTOS!E9</f>
        <v>535</v>
      </c>
    </row>
    <row r="8" spans="1:5" ht="14.1" customHeight="1" x14ac:dyDescent="0.3">
      <c r="A8" s="47"/>
      <c r="B8" s="46"/>
      <c r="D8" s="13" t="s">
        <v>147</v>
      </c>
      <c r="E8" s="8">
        <f>SUM(RENDIMENTOS!E9,INFORMES!E18,INFORMES!E36)</f>
        <v>2685</v>
      </c>
    </row>
    <row r="9" spans="1:5" ht="14.1" customHeight="1" x14ac:dyDescent="0.25">
      <c r="A9" s="47"/>
      <c r="B9" s="46"/>
    </row>
    <row r="10" spans="1:5" ht="14.1" customHeight="1" x14ac:dyDescent="0.25">
      <c r="A10" s="47"/>
      <c r="B10" s="46"/>
    </row>
    <row r="11" spans="1:5" ht="14.1" customHeight="1" x14ac:dyDescent="0.25">
      <c r="A11" s="47"/>
      <c r="B11" s="46"/>
    </row>
    <row r="12" spans="1:5" ht="14.1" customHeight="1" x14ac:dyDescent="0.25">
      <c r="A12" s="47"/>
      <c r="B12" s="46"/>
    </row>
    <row r="13" spans="1:5" ht="14.1" customHeight="1" x14ac:dyDescent="0.25">
      <c r="A13" s="47"/>
      <c r="B13" s="46"/>
    </row>
    <row r="14" spans="1:5" ht="14.1" customHeight="1" x14ac:dyDescent="0.25">
      <c r="A14" s="47"/>
      <c r="B14" s="46"/>
    </row>
    <row r="15" spans="1:5" ht="14.1" customHeight="1" x14ac:dyDescent="0.25">
      <c r="A15" s="47"/>
      <c r="B15" s="46"/>
    </row>
    <row r="16" spans="1:5" ht="14.1" customHeight="1" x14ac:dyDescent="0.25">
      <c r="A16" s="47"/>
      <c r="B16" s="46"/>
    </row>
    <row r="17" spans="1:2" ht="14.1" customHeight="1" x14ac:dyDescent="0.25">
      <c r="A17" s="47"/>
      <c r="B17" s="46"/>
    </row>
    <row r="18" spans="1:2" ht="14.1" customHeight="1" x14ac:dyDescent="0.25">
      <c r="A18" s="47"/>
      <c r="B18" s="46"/>
    </row>
    <row r="19" spans="1:2" ht="14.1" customHeight="1" x14ac:dyDescent="0.25">
      <c r="A19" s="47"/>
      <c r="B19" s="46"/>
    </row>
    <row r="20" spans="1:2" ht="14.1" customHeight="1" x14ac:dyDescent="0.25">
      <c r="A20" s="47"/>
      <c r="B20" s="46"/>
    </row>
    <row r="21" spans="1:2" ht="14.1" customHeight="1" x14ac:dyDescent="0.25">
      <c r="A21" s="47"/>
      <c r="B21" s="46"/>
    </row>
    <row r="22" spans="1:2" ht="14.1" customHeight="1" x14ac:dyDescent="0.25">
      <c r="A22" s="47"/>
      <c r="B22" s="46"/>
    </row>
    <row r="23" spans="1:2" ht="14.1" customHeight="1" x14ac:dyDescent="0.25">
      <c r="A23" s="47"/>
      <c r="B23" s="46"/>
    </row>
    <row r="24" spans="1:2" ht="14.1" customHeight="1" x14ac:dyDescent="0.25">
      <c r="A24" s="47"/>
      <c r="B24" s="46"/>
    </row>
    <row r="25" spans="1:2" ht="14.1" customHeight="1" x14ac:dyDescent="0.25">
      <c r="A25" s="47"/>
      <c r="B25" s="46"/>
    </row>
    <row r="26" spans="1:2" ht="14.1" customHeight="1" x14ac:dyDescent="0.25">
      <c r="A26" s="47"/>
      <c r="B26" s="46"/>
    </row>
    <row r="27" spans="1:2" ht="14.1" customHeight="1" x14ac:dyDescent="0.25">
      <c r="A27" s="47"/>
      <c r="B27" s="46"/>
    </row>
    <row r="28" spans="1:2" ht="14.1" customHeight="1" x14ac:dyDescent="0.25">
      <c r="A28" s="47"/>
      <c r="B28" s="46"/>
    </row>
    <row r="29" spans="1:2" ht="14.1" customHeight="1" x14ac:dyDescent="0.25">
      <c r="A29" s="47"/>
      <c r="B29" s="46"/>
    </row>
    <row r="30" spans="1:2" ht="14.1" customHeight="1" x14ac:dyDescent="0.25">
      <c r="A30" s="47"/>
      <c r="B30" s="46"/>
    </row>
    <row r="31" spans="1:2" ht="14.1" customHeight="1" x14ac:dyDescent="0.25">
      <c r="A31" s="47"/>
      <c r="B31" s="46"/>
    </row>
    <row r="32" spans="1:2" ht="14.1" customHeight="1" x14ac:dyDescent="0.25">
      <c r="A32" s="47"/>
      <c r="B32" s="46"/>
    </row>
    <row r="33" spans="1:2" ht="14.1" customHeight="1" x14ac:dyDescent="0.25">
      <c r="A33" s="47"/>
      <c r="B33" s="46"/>
    </row>
    <row r="34" spans="1:2" ht="14.1" customHeight="1" x14ac:dyDescent="0.25">
      <c r="A34" s="47"/>
      <c r="B34" s="46"/>
    </row>
    <row r="35" spans="1:2" ht="14.1" customHeight="1" x14ac:dyDescent="0.25">
      <c r="A35" s="47"/>
      <c r="B35" s="46"/>
    </row>
    <row r="36" spans="1:2" ht="14.1" customHeight="1" x14ac:dyDescent="0.25">
      <c r="A36" s="47"/>
      <c r="B36" s="46"/>
    </row>
    <row r="37" spans="1:2" ht="14.1" customHeight="1" x14ac:dyDescent="0.25">
      <c r="A37" s="47"/>
      <c r="B37" s="46"/>
    </row>
    <row r="38" spans="1:2" ht="14.1" customHeight="1" x14ac:dyDescent="0.25">
      <c r="A38" s="47"/>
      <c r="B38" s="46"/>
    </row>
    <row r="39" spans="1:2" ht="14.1" customHeight="1" x14ac:dyDescent="0.25">
      <c r="A39" s="47"/>
      <c r="B39" s="46"/>
    </row>
    <row r="40" spans="1:2" ht="14.1" customHeight="1" x14ac:dyDescent="0.25">
      <c r="A40" s="47"/>
      <c r="B40" s="46"/>
    </row>
    <row r="41" spans="1:2" ht="14.1" customHeight="1" x14ac:dyDescent="0.25">
      <c r="A41" s="47"/>
      <c r="B41" s="46"/>
    </row>
    <row r="42" spans="1:2" ht="14.1" customHeight="1" x14ac:dyDescent="0.25">
      <c r="A42" s="47"/>
      <c r="B42" s="46"/>
    </row>
    <row r="43" spans="1:2" ht="14.1" customHeight="1" x14ac:dyDescent="0.25">
      <c r="A43" s="47"/>
      <c r="B43" s="46"/>
    </row>
    <row r="44" spans="1:2" ht="14.1" customHeight="1" x14ac:dyDescent="0.25">
      <c r="A44" s="47"/>
      <c r="B44" s="46"/>
    </row>
    <row r="45" spans="1:2" ht="14.1" customHeight="1" x14ac:dyDescent="0.25">
      <c r="A45" s="47"/>
      <c r="B45" s="46"/>
    </row>
    <row r="46" spans="1:2" ht="14.1" customHeight="1" x14ac:dyDescent="0.25">
      <c r="A46" s="47"/>
      <c r="B46" s="46"/>
    </row>
    <row r="47" spans="1:2" ht="14.1" customHeight="1" x14ac:dyDescent="0.25">
      <c r="A47" s="47"/>
      <c r="B47" s="46"/>
    </row>
    <row r="48" spans="1:2" ht="14.1" customHeight="1" x14ac:dyDescent="0.25">
      <c r="A48" s="47"/>
      <c r="B48" s="46"/>
    </row>
    <row r="49" spans="1:2" ht="14.1" customHeight="1" x14ac:dyDescent="0.25">
      <c r="A49" s="47"/>
      <c r="B49" s="46"/>
    </row>
    <row r="50" spans="1:2" x14ac:dyDescent="0.25">
      <c r="A50" s="47"/>
      <c r="B50" s="46"/>
    </row>
  </sheetData>
  <sheetProtection sheet="1" objects="1" scenarios="1" selectLockedCells="1"/>
  <mergeCells count="3">
    <mergeCell ref="D2:E2"/>
    <mergeCell ref="B1:B50"/>
    <mergeCell ref="A1:A5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9E63-6901-441B-83A2-20F799264CB0}">
  <sheetPr codeName="Planilha4"/>
  <dimension ref="A1:A51"/>
  <sheetViews>
    <sheetView showGridLines="0" topLeftCell="A16" workbookViewId="0">
      <selection activeCell="F44" sqref="F44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95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58</v>
      </c>
    </row>
    <row r="16" spans="1:1" x14ac:dyDescent="0.25">
      <c r="A16" t="s">
        <v>59</v>
      </c>
    </row>
    <row r="17" spans="1:1" x14ac:dyDescent="0.25">
      <c r="A17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63</v>
      </c>
    </row>
    <row r="21" spans="1:1" x14ac:dyDescent="0.25">
      <c r="A21" t="s">
        <v>64</v>
      </c>
    </row>
    <row r="22" spans="1:1" x14ac:dyDescent="0.25">
      <c r="A22" t="s">
        <v>65</v>
      </c>
    </row>
    <row r="23" spans="1:1" x14ac:dyDescent="0.25">
      <c r="A23" t="s">
        <v>66</v>
      </c>
    </row>
    <row r="24" spans="1:1" x14ac:dyDescent="0.25">
      <c r="A24" t="s">
        <v>67</v>
      </c>
    </row>
    <row r="25" spans="1:1" x14ac:dyDescent="0.25">
      <c r="A25" t="s">
        <v>68</v>
      </c>
    </row>
    <row r="26" spans="1:1" x14ac:dyDescent="0.25">
      <c r="A26" t="s">
        <v>69</v>
      </c>
    </row>
    <row r="27" spans="1:1" x14ac:dyDescent="0.25">
      <c r="A27" t="s">
        <v>70</v>
      </c>
    </row>
    <row r="28" spans="1:1" x14ac:dyDescent="0.25">
      <c r="A28" t="s">
        <v>71</v>
      </c>
    </row>
    <row r="29" spans="1:1" x14ac:dyDescent="0.25">
      <c r="A29" t="s">
        <v>72</v>
      </c>
    </row>
    <row r="30" spans="1:1" x14ac:dyDescent="0.25">
      <c r="A30" t="s">
        <v>73</v>
      </c>
    </row>
    <row r="31" spans="1:1" x14ac:dyDescent="0.25">
      <c r="A31" t="s">
        <v>74</v>
      </c>
    </row>
    <row r="32" spans="1:1" x14ac:dyDescent="0.25">
      <c r="A32" t="s">
        <v>75</v>
      </c>
    </row>
    <row r="33" spans="1:1" x14ac:dyDescent="0.25">
      <c r="A33" t="s">
        <v>76</v>
      </c>
    </row>
    <row r="34" spans="1:1" x14ac:dyDescent="0.25">
      <c r="A34" t="s">
        <v>77</v>
      </c>
    </row>
    <row r="35" spans="1:1" x14ac:dyDescent="0.25">
      <c r="A35" t="s">
        <v>78</v>
      </c>
    </row>
    <row r="36" spans="1:1" x14ac:dyDescent="0.25">
      <c r="A36" t="s">
        <v>79</v>
      </c>
    </row>
    <row r="37" spans="1:1" x14ac:dyDescent="0.25">
      <c r="A37" t="s">
        <v>80</v>
      </c>
    </row>
    <row r="38" spans="1:1" x14ac:dyDescent="0.25">
      <c r="A38" t="s">
        <v>81</v>
      </c>
    </row>
    <row r="39" spans="1:1" x14ac:dyDescent="0.25">
      <c r="A39" t="s">
        <v>82</v>
      </c>
    </row>
    <row r="40" spans="1:1" x14ac:dyDescent="0.25">
      <c r="A40" t="s">
        <v>83</v>
      </c>
    </row>
    <row r="41" spans="1:1" x14ac:dyDescent="0.25">
      <c r="A41" t="s">
        <v>84</v>
      </c>
    </row>
    <row r="42" spans="1:1" x14ac:dyDescent="0.25">
      <c r="A42" t="s">
        <v>85</v>
      </c>
    </row>
    <row r="43" spans="1:1" x14ac:dyDescent="0.25">
      <c r="A43" t="s">
        <v>86</v>
      </c>
    </row>
    <row r="44" spans="1:1" x14ac:dyDescent="0.25">
      <c r="A44" t="s">
        <v>87</v>
      </c>
    </row>
    <row r="45" spans="1:1" x14ac:dyDescent="0.25">
      <c r="A45" t="s">
        <v>88</v>
      </c>
    </row>
    <row r="46" spans="1:1" x14ac:dyDescent="0.25">
      <c r="A46" t="s">
        <v>89</v>
      </c>
    </row>
    <row r="47" spans="1:1" x14ac:dyDescent="0.25">
      <c r="A47" t="s">
        <v>90</v>
      </c>
    </row>
    <row r="48" spans="1:1" x14ac:dyDescent="0.25">
      <c r="A48" t="s">
        <v>91</v>
      </c>
    </row>
    <row r="49" spans="1:1" x14ac:dyDescent="0.25">
      <c r="A49" t="s">
        <v>92</v>
      </c>
    </row>
    <row r="50" spans="1:1" x14ac:dyDescent="0.25">
      <c r="A50" t="s">
        <v>93</v>
      </c>
    </row>
    <row r="51" spans="1:1" x14ac:dyDescent="0.25">
      <c r="A51" t="s">
        <v>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CADASTRO</vt:lpstr>
      <vt:lpstr>RENDIMENTOS</vt:lpstr>
      <vt:lpstr>BANCOS</vt:lpstr>
      <vt:lpstr>INVESTIMENTOS</vt:lpstr>
      <vt:lpstr>INFORMES</vt:lpstr>
      <vt:lpstr>NOTAS</vt:lpstr>
      <vt:lpstr>RESUMO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Alves de Oliveira</dc:creator>
  <cp:lastModifiedBy>Jesse Alves</cp:lastModifiedBy>
  <dcterms:created xsi:type="dcterms:W3CDTF">2015-06-05T18:17:20Z</dcterms:created>
  <dcterms:modified xsi:type="dcterms:W3CDTF">2026-10-20T14:34:22Z</dcterms:modified>
</cp:coreProperties>
</file>